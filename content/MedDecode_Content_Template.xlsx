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8.xml" ContentType="application/vnd.openxmlformats-officedocument.drawing+xml"/>
  <Override PartName="/xl/drawings/drawing9.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vmlDrawing3.vml" ContentType="application/vnd.openxmlformats-officedocument.vmlDrawing"/>
  <Override PartName="/xl/drawings/drawing4.xml" ContentType="application/vnd.openxmlformats-officedocument.drawing+xml"/>
  <Override PartName="/xl/drawings/drawing3.xml" ContentType="application/vnd.openxmlformats-officedocument.drawing+xml"/>
  <Override PartName="/xl/drawings/vmlDrawing2.vml" ContentType="application/vnd.openxmlformats-officedocument.vmlDrawing"/>
  <Override PartName="/xl/drawings/vmlDrawing4.vml" ContentType="application/vnd.openxmlformats-officedocument.vmlDrawing"/>
  <Override PartName="/xl/drawings/drawing5.xml" ContentType="application/vnd.openxmlformats-officedocument.drawing+xml"/>
  <Override PartName="/xl/drawings/vmlDrawing5.vml" ContentType="application/vnd.openxmlformats-officedocument.vmlDrawing"/>
  <Override PartName="/xl/drawings/drawing6.xml" ContentType="application/vnd.openxmlformats-officedocument.drawing+xml"/>
  <Override PartName="/xl/drawings/drawing7.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Master Word Parts" sheetId="2" state="visible" r:id="rId4"/>
    <sheet name="Master Terms" sheetId="3" state="visible" r:id="rId5"/>
    <sheet name="Match Pairs" sheetId="4" state="visible" r:id="rId6"/>
    <sheet name="Sort Items" sheetId="5" state="visible" r:id="rId7"/>
    <sheet name="Dissect Terms" sheetId="6" state="visible" r:id="rId8"/>
    <sheet name="Build Cases" sheetId="7" state="visible" r:id="rId9"/>
    <sheet name="Build Word List" sheetId="8" state="visible" r:id="rId10"/>
    <sheet name="Word Parts" sheetId="9" state="visible" r:id="rId11"/>
    <sheet name="Terms" sheetId="10" state="visible" r:id="rId12"/>
    <sheet name="Lists" sheetId="11" state="visible" r:id="rId13"/>
  </sheets>
  <definedNames>
    <definedName function="false" hidden="true" localSheetId="6" name="_xlnm._FilterDatabase" vbProcedure="false">'Build Cases'!$A$1:$Q$201</definedName>
    <definedName function="false" hidden="true" localSheetId="7" name="_xlnm._FilterDatabase" vbProcedure="false">'Build Word List'!$A$1:$J$201</definedName>
    <definedName function="false" hidden="true" localSheetId="5" name="_xlnm._FilterDatabase" vbProcedure="false">'Dissect Terms'!$A$1:$R$201</definedName>
    <definedName function="false" hidden="true" localSheetId="2" name="_xlnm._FilterDatabase" vbProcedure="false">'Master Terms'!$A$1:$O$62</definedName>
    <definedName function="false" hidden="true" localSheetId="1" name="_xlnm._FilterDatabase" vbProcedure="false">'Master Word Parts'!$A$1:$M$80</definedName>
    <definedName function="false" hidden="true" localSheetId="3" name="_xlnm._FilterDatabase" vbProcedure="false">'Match Pairs'!$A$1:$Y$201</definedName>
    <definedName function="false" hidden="true" localSheetId="4" name="_xlnm._FilterDatabase" vbProcedure="false">'Sort Items'!$A$1:$P$201</definedName>
    <definedName function="false" hidden="true" localSheetId="9" name="_xlnm._FilterDatabase" vbProcedure="false">Terms!$A$1:$K$201</definedName>
    <definedName function="false" hidden="true" localSheetId="8" name="_xlnm._FilterDatabase" vbProcedure="false">'Word Parts'!$A$1:$J$201</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M1" authorId="0">
      <text>
        <r>
          <rPr>
            <sz val="10"/>
            <rFont val="Arial"/>
            <family val="2"/>
          </rPr>
          <t xml:space="preserve">One short clue shown when a student pairs this tile with the wrong partner. Point toward the answer; don't give it away.</t>
        </r>
      </text>
    </comment>
    <comment ref="N1" authorId="0">
      <text>
        <r>
          <rPr>
            <sz val="10"/>
            <rFont val="Arial"/>
            <family val="2"/>
          </rPr>
          <t xml:space="preserve">Pairs with the same conflict group could confuse a student if they appear together (e.g., 'hyper-' and 'poly-' both mean 'excessive'). Give them the same group name and the game will never place them on one board.</t>
        </r>
      </text>
    </comment>
    <comment ref="O1" authorId="0">
      <text>
        <r>
          <rPr>
            <sz val="10"/>
            <rFont val="Arial"/>
            <family val="2"/>
          </rPr>
          <t xml:space="preserve">Optional. Used for the 'Why do these tiles match?' check. Best for full terms built from several word parts.</t>
        </r>
      </text>
    </comment>
    <comment ref="X1" authorId="0">
      <text>
        <r>
          <rPr>
            <sz val="10"/>
            <rFont val="Arial"/>
            <family val="2"/>
          </rPr>
          <t xml:space="preserve">Formula: shows Ready only when Status = Approved and Approved by + Approval date are filled in. Only Ready rows go into the game.</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E1" authorId="0">
      <text>
        <r>
          <rPr>
            <sz val="10"/>
            <rFont val="Arial"/>
            <family val="2"/>
          </rPr>
          <t xml:space="preserve">Prefixes usually describe amount, speed or position rather than a category, so leave them as '(Kind-of-word rounds only)'. Suffixes, roots, terms, phrases and pictures get a main category.</t>
        </r>
      </text>
    </comment>
    <comment ref="F1" authorId="0">
      <text>
        <r>
          <rPr>
            <sz val="10"/>
            <rFont val="Arial"/>
            <family val="2"/>
          </rPr>
          <t xml:space="preserve">Only for items that truly fit more than one bin (e.g., tachycardia: sign, also a condition). Dropping into an accepted bin counts as correct, and the note in column H is shown.</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D1" authorId="0">
      <text>
        <r>
          <rPr>
            <sz val="10"/>
            <rFont val="Arial"/>
            <family val="2"/>
          </rPr>
          <t xml:space="preserve">Type the term with | where each cut goes, e.g. gastr | o | enter | itis. Put a combining vowel in its own piece. The Letters check column confirms the split spells the term.</t>
        </r>
      </text>
    </comment>
    <comment ref="E1" authorId="0">
      <text>
        <r>
          <rPr>
            <sz val="10"/>
            <rFont val="Arial"/>
            <family val="2"/>
          </rPr>
          <t xml:space="preserve">One type per piece, in order: prefix, root, cv (combining vowel) or suffix.</t>
        </r>
      </text>
    </comment>
    <comment ref="H1" authorId="0">
      <text>
        <r>
          <rPr>
            <sz val="10"/>
            <rFont val="Arial"/>
            <family val="2"/>
          </rPr>
          <t xml:space="preserve">Other splits a textbook would accept, e.g. tachy | cardia for tachycardia. Combining-vowel variants (cardio | logy) are accepted automatically.</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G1" authorId="0">
      <text>
        <r>
          <rPr>
            <sz val="10"/>
            <rFont val="Arial"/>
            <family val="2"/>
          </rPr>
          <t xml:space="preserve">List every tile shown in the tray: the answer parts plus 3 or 4 distractors. Any real word that can be built from these tiles should be on the Build Word List sheet, so the game can recognize it.</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Every real term students might build from any tray. A build that isn't on this list is reported as 'not a recognized term', so add real words here when you find them.</t>
        </r>
      </text>
    </comment>
  </commentList>
</comments>
</file>

<file path=xl/sharedStrings.xml><?xml version="1.0" encoding="utf-8"?>
<sst xmlns="http://schemas.openxmlformats.org/spreadsheetml/2006/main" count="4599" uniqueCount="1991">
  <si>
    <t xml:space="preserve">MedDecode game content template (master list + Tiles, Sort, Dissect, Build)</t>
  </si>
  <si>
    <t xml:space="preserve">What this is</t>
  </si>
  <si>
    <t xml:space="preserve">The one place MedDecode instructors write and approve game content. Each game reads only rows marked Ready (Match Pairs for Tiles, Sort Items for Sort, Dissect Terms for Dissect, Build Cases and Build Word List for Build).</t>
  </si>
  <si>
    <t xml:space="preserve">Where to type</t>
  </si>
  <si>
    <t xml:space="preserve">Yellow cells. Grey formula columns (Game-ready?, Conflict check) fill in on their own.</t>
  </si>
  <si>
    <t xml:space="preserve">Example rows</t>
  </si>
  <si>
    <t xml:space="preserve">The 12 rows already on Match Pairs are Claude's drafts, marked Draft. Check each one, fix anything wrong, then set Status to Approved and add your name and the date.</t>
  </si>
  <si>
    <t xml:space="preserve">Approval rule</t>
  </si>
  <si>
    <t xml:space="preserve">A row is Ready when Status = Approved and both Approved by and Approval date are filled in. We recommend a second instructor review for Symptom → Term and Level 4 rows.</t>
  </si>
  <si>
    <t xml:space="preserve">Conflict group</t>
  </si>
  <si>
    <t xml:space="preserve">If two answers could fit one tile (hyper- and poly- both mean 'excessive'), give both pairs the same conflict group. The game never puts them on the same board.</t>
  </si>
  <si>
    <t xml:space="preserve">Wrong-match nudge</t>
  </si>
  <si>
    <t xml:space="preserve">One short clue per pair, shown when a student picks the wrong partner. Point toward the answer without giving it.</t>
  </si>
  <si>
    <t xml:space="preserve">Images</t>
  </si>
  <si>
    <t xml:space="preserve">Put the file name in Tile B image file and keep the image, with its license, in the shared image folder. Use only images you made or that carry an open license (for example CC BY), and record the credit.</t>
  </si>
  <si>
    <t xml:space="preserve">Symptom rows</t>
  </si>
  <si>
    <t xml:space="preserve">Use wording like 'a symptom commonly associated with…'. A symptom tile should not imply a diagnosis.</t>
  </si>
  <si>
    <t xml:space="preserve">Pairs on file</t>
  </si>
  <si>
    <t xml:space="preserve">Pairs game-ready</t>
  </si>
  <si>
    <t xml:space="preserve">Pairs still in draft or review</t>
  </si>
  <si>
    <t xml:space="preserve">Pairs needing revision</t>
  </si>
  <si>
    <t xml:space="preserve">Legend</t>
  </si>
  <si>
    <t xml:space="preserve">Yellow = type here</t>
  </si>
  <si>
    <t xml:space="preserve">Sort Items sheet</t>
  </si>
  <si>
    <t xml:space="preserve">Content for MedDecode Sort (drag cards into categories). Card kind drives the Kind-of-word rounds; Main category drives the What-it-describes rounds.</t>
  </si>
  <si>
    <t xml:space="preserve">Sort items game-ready</t>
  </si>
  <si>
    <t xml:space="preserve">Sort items on file</t>
  </si>
  <si>
    <t xml:space="preserve">Dissect Terms sheet</t>
  </si>
  <si>
    <t xml:space="preserve">Terms for MedDecode Dissect. Write the split with | between pieces and list each piece's type in the same order.</t>
  </si>
  <si>
    <t xml:space="preserve">Dissect terms game-ready</t>
  </si>
  <si>
    <t xml:space="preserve">Dissect terms on file</t>
  </si>
  <si>
    <t xml:space="preserve">Build sheets</t>
  </si>
  <si>
    <t xml:space="preserve">Build Cases holds each patient case, its question, the answer parts and the tray. Build Word List holds every real term that can be built from the trays, so the game can say 'real term, but not the answer'.</t>
  </si>
  <si>
    <t xml:space="preserve">Build cases game-ready</t>
  </si>
  <si>
    <t xml:space="preserve">Build words game-ready</t>
  </si>
  <si>
    <t xml:space="preserve">Master lists (new)</t>
  </si>
  <si>
    <t xml:space="preserve">Master Word Parts and Master Terms are the single source for Tiles, Dissect and Sort. Review these first: one approved row feeds three games.</t>
  </si>
  <si>
    <t xml:space="preserve">Master terms on file</t>
  </si>
  <si>
    <t xml:space="preserve">Master terms game-ready</t>
  </si>
  <si>
    <t xml:space="preserve">Part ID</t>
  </si>
  <si>
    <t xml:space="preserve">Form</t>
  </si>
  <si>
    <t xml:space="preserve">Type</t>
  </si>
  <si>
    <t xml:space="preserve">Meaning</t>
  </si>
  <si>
    <t xml:space="preserve">Pronunciation</t>
  </si>
  <si>
    <t xml:space="preserve">Body system</t>
  </si>
  <si>
    <t xml:space="preserve">Used as a Tiles pair</t>
  </si>
  <si>
    <t xml:space="preserve">Written by</t>
  </si>
  <si>
    <t xml:space="preserve">Status</t>
  </si>
  <si>
    <t xml:space="preserve">Approved by</t>
  </si>
  <si>
    <t xml:space="preserve">Approval date</t>
  </si>
  <si>
    <t xml:space="preserve">Reviewer notes</t>
  </si>
  <si>
    <t xml:space="preserve">Game-ready?</t>
  </si>
  <si>
    <t xml:space="preserve">a</t>
  </si>
  <si>
    <t xml:space="preserve">a-, an-</t>
  </si>
  <si>
    <t xml:space="preserve">prefix</t>
  </si>
  <si>
    <t xml:space="preserve">without, absence of</t>
  </si>
  <si>
    <t xml:space="preserve">ay, an</t>
  </si>
  <si>
    <t xml:space="preserve">General</t>
  </si>
  <si>
    <t xml:space="preserve">Yes</t>
  </si>
  <si>
    <t xml:space="preserve">Claude (draft)</t>
  </si>
  <si>
    <t xml:space="preserve">Draft</t>
  </si>
  <si>
    <t xml:space="preserve">brady</t>
  </si>
  <si>
    <t xml:space="preserve">brady-</t>
  </si>
  <si>
    <t xml:space="preserve">slow</t>
  </si>
  <si>
    <t xml:space="preserve">BRAD-ee</t>
  </si>
  <si>
    <t xml:space="preserve">tachy</t>
  </si>
  <si>
    <t xml:space="preserve">tachy-</t>
  </si>
  <si>
    <t xml:space="preserve">fast, rapid</t>
  </si>
  <si>
    <t xml:space="preserve">TAK-ee</t>
  </si>
  <si>
    <t xml:space="preserve">dys</t>
  </si>
  <si>
    <t xml:space="preserve">dys-</t>
  </si>
  <si>
    <t xml:space="preserve">difficult, painful, abnormal</t>
  </si>
  <si>
    <t xml:space="preserve">dis</t>
  </si>
  <si>
    <t xml:space="preserve">hyper</t>
  </si>
  <si>
    <t xml:space="preserve">hyper-</t>
  </si>
  <si>
    <t xml:space="preserve">above normal, excessive</t>
  </si>
  <si>
    <t xml:space="preserve">HY-per</t>
  </si>
  <si>
    <t xml:space="preserve">hypo</t>
  </si>
  <si>
    <t xml:space="preserve">hypo-</t>
  </si>
  <si>
    <t xml:space="preserve">below normal, deficient</t>
  </si>
  <si>
    <t xml:space="preserve">HY-poh</t>
  </si>
  <si>
    <t xml:space="preserve">peri</t>
  </si>
  <si>
    <t xml:space="preserve">peri-</t>
  </si>
  <si>
    <t xml:space="preserve">around</t>
  </si>
  <si>
    <t xml:space="preserve">PAIR-ee</t>
  </si>
  <si>
    <t xml:space="preserve">endo</t>
  </si>
  <si>
    <t xml:space="preserve">endo-</t>
  </si>
  <si>
    <t xml:space="preserve">within, inner</t>
  </si>
  <si>
    <t xml:space="preserve">EN-doh</t>
  </si>
  <si>
    <t xml:space="preserve">sub</t>
  </si>
  <si>
    <t xml:space="preserve">sub-</t>
  </si>
  <si>
    <t xml:space="preserve">below, under</t>
  </si>
  <si>
    <t xml:space="preserve">poly</t>
  </si>
  <si>
    <t xml:space="preserve">poly-</t>
  </si>
  <si>
    <t xml:space="preserve">many, much</t>
  </si>
  <si>
    <t xml:space="preserve">POL-ee</t>
  </si>
  <si>
    <t xml:space="preserve">hemi</t>
  </si>
  <si>
    <t xml:space="preserve">hemi-</t>
  </si>
  <si>
    <t xml:space="preserve">half</t>
  </si>
  <si>
    <t xml:space="preserve">HEM-ee</t>
  </si>
  <si>
    <t xml:space="preserve">dia</t>
  </si>
  <si>
    <t xml:space="preserve">dia-</t>
  </si>
  <si>
    <t xml:space="preserve">through, complete</t>
  </si>
  <si>
    <t xml:space="preserve">DY-uh</t>
  </si>
  <si>
    <t xml:space="preserve">cardi</t>
  </si>
  <si>
    <t xml:space="preserve">cardi/o</t>
  </si>
  <si>
    <t xml:space="preserve">root</t>
  </si>
  <si>
    <t xml:space="preserve">heart</t>
  </si>
  <si>
    <t xml:space="preserve">KAR-dee-oh</t>
  </si>
  <si>
    <t xml:space="preserve">Cardiovascular</t>
  </si>
  <si>
    <t xml:space="preserve">hepat</t>
  </si>
  <si>
    <t xml:space="preserve">hepat/o</t>
  </si>
  <si>
    <t xml:space="preserve">liver</t>
  </si>
  <si>
    <t xml:space="preserve">HEP-uh-toh</t>
  </si>
  <si>
    <t xml:space="preserve">Digestive</t>
  </si>
  <si>
    <t xml:space="preserve">nephr</t>
  </si>
  <si>
    <t xml:space="preserve">nephr/o</t>
  </si>
  <si>
    <t xml:space="preserve">kidney</t>
  </si>
  <si>
    <t xml:space="preserve">NEF-roh</t>
  </si>
  <si>
    <t xml:space="preserve">Urinary</t>
  </si>
  <si>
    <t xml:space="preserve">oste</t>
  </si>
  <si>
    <t xml:space="preserve">oste/o</t>
  </si>
  <si>
    <t xml:space="preserve">bone</t>
  </si>
  <si>
    <t xml:space="preserve">OS-tee-oh</t>
  </si>
  <si>
    <t xml:space="preserve">Skeletal</t>
  </si>
  <si>
    <t xml:space="preserve">gastr</t>
  </si>
  <si>
    <t xml:space="preserve">gastr/o</t>
  </si>
  <si>
    <t xml:space="preserve">stomach</t>
  </si>
  <si>
    <t xml:space="preserve">GAS-troh</t>
  </si>
  <si>
    <t xml:space="preserve">enter</t>
  </si>
  <si>
    <t xml:space="preserve">enter/o</t>
  </si>
  <si>
    <t xml:space="preserve">small intestine</t>
  </si>
  <si>
    <t xml:space="preserve">EN-ter-oh</t>
  </si>
  <si>
    <t xml:space="preserve">col</t>
  </si>
  <si>
    <t xml:space="preserve">col/o</t>
  </si>
  <si>
    <t xml:space="preserve">colon (large intestine)</t>
  </si>
  <si>
    <t xml:space="preserve">KOH-loh</t>
  </si>
  <si>
    <t xml:space="preserve">append</t>
  </si>
  <si>
    <t xml:space="preserve">append/o</t>
  </si>
  <si>
    <t xml:space="preserve">appendix</t>
  </si>
  <si>
    <t xml:space="preserve">uh-PEN-doh</t>
  </si>
  <si>
    <t xml:space="preserve">cholecyst</t>
  </si>
  <si>
    <t xml:space="preserve">cholecyst/o</t>
  </si>
  <si>
    <t xml:space="preserve">gallbladder</t>
  </si>
  <si>
    <t xml:space="preserve">koh-lee-SIS-toh</t>
  </si>
  <si>
    <t xml:space="preserve">phag</t>
  </si>
  <si>
    <t xml:space="preserve">phag/o</t>
  </si>
  <si>
    <t xml:space="preserve">eat, swallow</t>
  </si>
  <si>
    <t xml:space="preserve">FAY-goh</t>
  </si>
  <si>
    <t xml:space="preserve">neur</t>
  </si>
  <si>
    <t xml:space="preserve">neur/o</t>
  </si>
  <si>
    <t xml:space="preserve">nerve</t>
  </si>
  <si>
    <t xml:space="preserve">NOO-roh</t>
  </si>
  <si>
    <t xml:space="preserve">Nervous</t>
  </si>
  <si>
    <t xml:space="preserve">encephal</t>
  </si>
  <si>
    <t xml:space="preserve">encephal/o</t>
  </si>
  <si>
    <t xml:space="preserve">brain</t>
  </si>
  <si>
    <t xml:space="preserve">en-SEF-uh-loh</t>
  </si>
  <si>
    <t xml:space="preserve">cephal</t>
  </si>
  <si>
    <t xml:space="preserve">cephal/o</t>
  </si>
  <si>
    <t xml:space="preserve">head</t>
  </si>
  <si>
    <t xml:space="preserve">SEF-uh-loh</t>
  </si>
  <si>
    <t xml:space="preserve">crani</t>
  </si>
  <si>
    <t xml:space="preserve">crani/o</t>
  </si>
  <si>
    <t xml:space="preserve">skull</t>
  </si>
  <si>
    <t xml:space="preserve">KRAY-nee-oh</t>
  </si>
  <si>
    <t xml:space="preserve">my</t>
  </si>
  <si>
    <t xml:space="preserve">my/o</t>
  </si>
  <si>
    <t xml:space="preserve">muscle</t>
  </si>
  <si>
    <t xml:space="preserve">MY-oh</t>
  </si>
  <si>
    <t xml:space="preserve">Muscular</t>
  </si>
  <si>
    <t xml:space="preserve">arthr</t>
  </si>
  <si>
    <t xml:space="preserve">arthr/o</t>
  </si>
  <si>
    <t xml:space="preserve">joint</t>
  </si>
  <si>
    <t xml:space="preserve">AR-throh</t>
  </si>
  <si>
    <t xml:space="preserve">chondr</t>
  </si>
  <si>
    <t xml:space="preserve">chondr/o</t>
  </si>
  <si>
    <t xml:space="preserve">cartilage</t>
  </si>
  <si>
    <t xml:space="preserve">KON-droh</t>
  </si>
  <si>
    <t xml:space="preserve">dermat</t>
  </si>
  <si>
    <t xml:space="preserve">dermat/o</t>
  </si>
  <si>
    <t xml:space="preserve">skin</t>
  </si>
  <si>
    <t xml:space="preserve">DER-muh-toh</t>
  </si>
  <si>
    <t xml:space="preserve">Integumentary</t>
  </si>
  <si>
    <t xml:space="preserve">lip</t>
  </si>
  <si>
    <t xml:space="preserve">lip/o</t>
  </si>
  <si>
    <t xml:space="preserve">fat</t>
  </si>
  <si>
    <t xml:space="preserve">LIP-oh</t>
  </si>
  <si>
    <t xml:space="preserve">rhin</t>
  </si>
  <si>
    <t xml:space="preserve">rhin/o</t>
  </si>
  <si>
    <t xml:space="preserve">nose</t>
  </si>
  <si>
    <t xml:space="preserve">RY-noh</t>
  </si>
  <si>
    <t xml:space="preserve">Respiratory</t>
  </si>
  <si>
    <t xml:space="preserve">laryng</t>
  </si>
  <si>
    <t xml:space="preserve">laryng/o</t>
  </si>
  <si>
    <t xml:space="preserve">larynx (voice box)</t>
  </si>
  <si>
    <t xml:space="preserve">luh-RING-goh</t>
  </si>
  <si>
    <t xml:space="preserve">trache</t>
  </si>
  <si>
    <t xml:space="preserve">trache/o</t>
  </si>
  <si>
    <t xml:space="preserve">trachea (windpipe)</t>
  </si>
  <si>
    <t xml:space="preserve">TRAY-kee-oh</t>
  </si>
  <si>
    <t xml:space="preserve">bronch</t>
  </si>
  <si>
    <t xml:space="preserve">bronch/o</t>
  </si>
  <si>
    <t xml:space="preserve">bronchus (airway)</t>
  </si>
  <si>
    <t xml:space="preserve">BRONG-koh</t>
  </si>
  <si>
    <t xml:space="preserve">pulmon</t>
  </si>
  <si>
    <t xml:space="preserve">pulmon/o</t>
  </si>
  <si>
    <t xml:space="preserve">lung</t>
  </si>
  <si>
    <t xml:space="preserve">PUL-muh-noh</t>
  </si>
  <si>
    <t xml:space="preserve">cyst</t>
  </si>
  <si>
    <t xml:space="preserve">cyst/o</t>
  </si>
  <si>
    <t xml:space="preserve">urinary bladder</t>
  </si>
  <si>
    <t xml:space="preserve">SIS-toh</t>
  </si>
  <si>
    <t xml:space="preserve">hemat</t>
  </si>
  <si>
    <t xml:space="preserve">hemat/o</t>
  </si>
  <si>
    <t xml:space="preserve">blood</t>
  </si>
  <si>
    <t xml:space="preserve">HEE-muh-toh</t>
  </si>
  <si>
    <t xml:space="preserve">Blood</t>
  </si>
  <si>
    <t xml:space="preserve">angi</t>
  </si>
  <si>
    <t xml:space="preserve">angi/o</t>
  </si>
  <si>
    <t xml:space="preserve">blood vessel</t>
  </si>
  <si>
    <t xml:space="preserve">AN-jee-oh</t>
  </si>
  <si>
    <t xml:space="preserve">phleb</t>
  </si>
  <si>
    <t xml:space="preserve">phleb/o</t>
  </si>
  <si>
    <t xml:space="preserve">vein</t>
  </si>
  <si>
    <t xml:space="preserve">FLEB-oh</t>
  </si>
  <si>
    <t xml:space="preserve">thromb</t>
  </si>
  <si>
    <t xml:space="preserve">thromb/o</t>
  </si>
  <si>
    <t xml:space="preserve">clot</t>
  </si>
  <si>
    <t xml:space="preserve">THROM-boh</t>
  </si>
  <si>
    <t xml:space="preserve">glyc</t>
  </si>
  <si>
    <t xml:space="preserve">glyc/o</t>
  </si>
  <si>
    <t xml:space="preserve">sugar, glucose</t>
  </si>
  <si>
    <t xml:space="preserve">GLY-koh</t>
  </si>
  <si>
    <t xml:space="preserve">Endocrine</t>
  </si>
  <si>
    <t xml:space="preserve">cyan</t>
  </si>
  <si>
    <t xml:space="preserve">cyan/o</t>
  </si>
  <si>
    <t xml:space="preserve">blue</t>
  </si>
  <si>
    <t xml:space="preserve">SY-uh-noh</t>
  </si>
  <si>
    <t xml:space="preserve">erythr</t>
  </si>
  <si>
    <t xml:space="preserve">erythr/o</t>
  </si>
  <si>
    <t xml:space="preserve">red</t>
  </si>
  <si>
    <t xml:space="preserve">eh-RITH-roh</t>
  </si>
  <si>
    <t xml:space="preserve">leuk</t>
  </si>
  <si>
    <t xml:space="preserve">leuk/o</t>
  </si>
  <si>
    <t xml:space="preserve">white</t>
  </si>
  <si>
    <t xml:space="preserve">LOO-koh</t>
  </si>
  <si>
    <t xml:space="preserve">path</t>
  </si>
  <si>
    <t xml:space="preserve">path/o</t>
  </si>
  <si>
    <t xml:space="preserve">disease</t>
  </si>
  <si>
    <t xml:space="preserve">PATH-oh</t>
  </si>
  <si>
    <t xml:space="preserve">ot</t>
  </si>
  <si>
    <t xml:space="preserve">ot/o</t>
  </si>
  <si>
    <t xml:space="preserve">ear</t>
  </si>
  <si>
    <t xml:space="preserve">OH-toh</t>
  </si>
  <si>
    <t xml:space="preserve">Sensory</t>
  </si>
  <si>
    <t xml:space="preserve">ophthalm</t>
  </si>
  <si>
    <t xml:space="preserve">ophthalm/o</t>
  </si>
  <si>
    <t xml:space="preserve">eye</t>
  </si>
  <si>
    <t xml:space="preserve">off-THAL-moh</t>
  </si>
  <si>
    <t xml:space="preserve">gloss</t>
  </si>
  <si>
    <t xml:space="preserve">gloss/o</t>
  </si>
  <si>
    <t xml:space="preserve">tongue</t>
  </si>
  <si>
    <t xml:space="preserve">GLOS-oh</t>
  </si>
  <si>
    <t xml:space="preserve">Oral</t>
  </si>
  <si>
    <t xml:space="preserve">odont</t>
  </si>
  <si>
    <t xml:space="preserve">odont/o</t>
  </si>
  <si>
    <t xml:space="preserve">tooth</t>
  </si>
  <si>
    <t xml:space="preserve">oh-DON-toh</t>
  </si>
  <si>
    <t xml:space="preserve">gingiv</t>
  </si>
  <si>
    <t xml:space="preserve">gingiv/o</t>
  </si>
  <si>
    <t xml:space="preserve">gums</t>
  </si>
  <si>
    <t xml:space="preserve">JIN-jih-voh</t>
  </si>
  <si>
    <t xml:space="preserve">tension</t>
  </si>
  <si>
    <t xml:space="preserve">pressure</t>
  </si>
  <si>
    <t xml:space="preserve">TEN-shun</t>
  </si>
  <si>
    <t xml:space="preserve">No</t>
  </si>
  <si>
    <t xml:space="preserve">tonsill</t>
  </si>
  <si>
    <t xml:space="preserve">tonsill/o</t>
  </si>
  <si>
    <t xml:space="preserve">tonsils</t>
  </si>
  <si>
    <t xml:space="preserve">TON-sih-loh</t>
  </si>
  <si>
    <t xml:space="preserve">Lymphatic</t>
  </si>
  <si>
    <t xml:space="preserve">cutane</t>
  </si>
  <si>
    <t xml:space="preserve">cutane/o</t>
  </si>
  <si>
    <t xml:space="preserve">kyoo-TAY-nee-oh</t>
  </si>
  <si>
    <t xml:space="preserve">por</t>
  </si>
  <si>
    <t xml:space="preserve">por/o</t>
  </si>
  <si>
    <t xml:space="preserve">pore, small opening</t>
  </si>
  <si>
    <t xml:space="preserve">POR-oh</t>
  </si>
  <si>
    <t xml:space="preserve">electr</t>
  </si>
  <si>
    <t xml:space="preserve">electr/o</t>
  </si>
  <si>
    <t xml:space="preserve">electricity</t>
  </si>
  <si>
    <t xml:space="preserve">ee-LEK-troh</t>
  </si>
  <si>
    <t xml:space="preserve">colon</t>
  </si>
  <si>
    <t xml:space="preserve">colon/o</t>
  </si>
  <si>
    <t xml:space="preserve">koh-LON-oh</t>
  </si>
  <si>
    <t xml:space="preserve">itis</t>
  </si>
  <si>
    <t xml:space="preserve">-itis</t>
  </si>
  <si>
    <t xml:space="preserve">suffix</t>
  </si>
  <si>
    <t xml:space="preserve">inflammation</t>
  </si>
  <si>
    <t xml:space="preserve">EYE-tis</t>
  </si>
  <si>
    <t xml:space="preserve">ectomy</t>
  </si>
  <si>
    <t xml:space="preserve">-ectomy</t>
  </si>
  <si>
    <t xml:space="preserve">surgical removal</t>
  </si>
  <si>
    <t xml:space="preserve">EK-tuh-mee</t>
  </si>
  <si>
    <t xml:space="preserve">otomy</t>
  </si>
  <si>
    <t xml:space="preserve">-otomy</t>
  </si>
  <si>
    <t xml:space="preserve">incision, cutting into</t>
  </si>
  <si>
    <t xml:space="preserve">OT-uh-mee</t>
  </si>
  <si>
    <t xml:space="preserve">ostomy</t>
  </si>
  <si>
    <t xml:space="preserve">-ostomy</t>
  </si>
  <si>
    <t xml:space="preserve">new surgical opening</t>
  </si>
  <si>
    <t xml:space="preserve">OS-tuh-mee</t>
  </si>
  <si>
    <t xml:space="preserve">algia</t>
  </si>
  <si>
    <t xml:space="preserve">-algia</t>
  </si>
  <si>
    <t xml:space="preserve">pain</t>
  </si>
  <si>
    <t xml:space="preserve">AL-jee-uh</t>
  </si>
  <si>
    <t xml:space="preserve">megaly</t>
  </si>
  <si>
    <t xml:space="preserve">-megaly</t>
  </si>
  <si>
    <t xml:space="preserve">enlargement</t>
  </si>
  <si>
    <t xml:space="preserve">MEG-uh-lee</t>
  </si>
  <si>
    <t xml:space="preserve">logy</t>
  </si>
  <si>
    <t xml:space="preserve">-logy</t>
  </si>
  <si>
    <t xml:space="preserve">study of</t>
  </si>
  <si>
    <t xml:space="preserve">LOH-jee</t>
  </si>
  <si>
    <t xml:space="preserve">scopy</t>
  </si>
  <si>
    <t xml:space="preserve">-scopy</t>
  </si>
  <si>
    <t xml:space="preserve">visual examination</t>
  </si>
  <si>
    <t xml:space="preserve">SKOH-pee</t>
  </si>
  <si>
    <t xml:space="preserve">plasty</t>
  </si>
  <si>
    <t xml:space="preserve">-plasty</t>
  </si>
  <si>
    <t xml:space="preserve">surgical repair</t>
  </si>
  <si>
    <t xml:space="preserve">PLAS-tee</t>
  </si>
  <si>
    <t xml:space="preserve">gram</t>
  </si>
  <si>
    <t xml:space="preserve">-gram</t>
  </si>
  <si>
    <t xml:space="preserve">record, picture</t>
  </si>
  <si>
    <t xml:space="preserve">emia</t>
  </si>
  <si>
    <t xml:space="preserve">-emia</t>
  </si>
  <si>
    <t xml:space="preserve">blood condition</t>
  </si>
  <si>
    <t xml:space="preserve">EE-mee-uh</t>
  </si>
  <si>
    <t xml:space="preserve">osis</t>
  </si>
  <si>
    <t xml:space="preserve">-osis</t>
  </si>
  <si>
    <t xml:space="preserve">abnormal condition</t>
  </si>
  <si>
    <t xml:space="preserve">OH-sis</t>
  </si>
  <si>
    <t xml:space="preserve">oma</t>
  </si>
  <si>
    <t xml:space="preserve">-oma</t>
  </si>
  <si>
    <t xml:space="preserve">tumor, mass</t>
  </si>
  <si>
    <t xml:space="preserve">OH-muh</t>
  </si>
  <si>
    <t xml:space="preserve">pathy</t>
  </si>
  <si>
    <t xml:space="preserve">-pathy</t>
  </si>
  <si>
    <t xml:space="preserve">PATH-ee</t>
  </si>
  <si>
    <t xml:space="preserve">cyte</t>
  </si>
  <si>
    <t xml:space="preserve">-cyte</t>
  </si>
  <si>
    <t xml:space="preserve">cell</t>
  </si>
  <si>
    <t xml:space="preserve">site</t>
  </si>
  <si>
    <t xml:space="preserve">pnea</t>
  </si>
  <si>
    <t xml:space="preserve">-pnea</t>
  </si>
  <si>
    <t xml:space="preserve">breathing</t>
  </si>
  <si>
    <t xml:space="preserve">NEE-uh</t>
  </si>
  <si>
    <t xml:space="preserve">uria</t>
  </si>
  <si>
    <t xml:space="preserve">-uria</t>
  </si>
  <si>
    <t xml:space="preserve">urine condition</t>
  </si>
  <si>
    <t xml:space="preserve">YOO-ree-uh</t>
  </si>
  <si>
    <t xml:space="preserve">rrhea</t>
  </si>
  <si>
    <t xml:space="preserve">-rrhea</t>
  </si>
  <si>
    <t xml:space="preserve">flow, discharge</t>
  </si>
  <si>
    <t xml:space="preserve">REE-uh</t>
  </si>
  <si>
    <t xml:space="preserve">plegia</t>
  </si>
  <si>
    <t xml:space="preserve">-plegia</t>
  </si>
  <si>
    <t xml:space="preserve">paralysis</t>
  </si>
  <si>
    <t xml:space="preserve">PLEE-juh</t>
  </si>
  <si>
    <t xml:space="preserve">penia</t>
  </si>
  <si>
    <t xml:space="preserve">-penia</t>
  </si>
  <si>
    <t xml:space="preserve">deficiency, too few</t>
  </si>
  <si>
    <t xml:space="preserve">PEE-nee-uh</t>
  </si>
  <si>
    <t xml:space="preserve">ia</t>
  </si>
  <si>
    <t xml:space="preserve">-ia</t>
  </si>
  <si>
    <t xml:space="preserve">condition</t>
  </si>
  <si>
    <t xml:space="preserve">EE-uh</t>
  </si>
  <si>
    <t xml:space="preserve">ous</t>
  </si>
  <si>
    <t xml:space="preserve">-ous</t>
  </si>
  <si>
    <t xml:space="preserve">pertaining to</t>
  </si>
  <si>
    <t xml:space="preserve">us</t>
  </si>
  <si>
    <t xml:space="preserve">Term</t>
  </si>
  <si>
    <t xml:space="preserve">Split (use |)</t>
  </si>
  <si>
    <t xml:space="preserve">Word parts</t>
  </si>
  <si>
    <t xml:space="preserve">Definition</t>
  </si>
  <si>
    <t xml:space="preserve">What it names</t>
  </si>
  <si>
    <t xml:space="preserve">Level</t>
  </si>
  <si>
    <t xml:space="preserve">Letters check</t>
  </si>
  <si>
    <t xml:space="preserve">gastritis</t>
  </si>
  <si>
    <t xml:space="preserve">gastr | itis</t>
  </si>
  <si>
    <t xml:space="preserve">gastr/o + -itis</t>
  </si>
  <si>
    <t xml:space="preserve">inflammation of the stomach</t>
  </si>
  <si>
    <t xml:space="preserve">gas-TRY-tis</t>
  </si>
  <si>
    <t xml:space="preserve">easy</t>
  </si>
  <si>
    <t xml:space="preserve">hepatitis</t>
  </si>
  <si>
    <t xml:space="preserve">hepat | itis</t>
  </si>
  <si>
    <t xml:space="preserve">hepat/o + -itis</t>
  </si>
  <si>
    <t xml:space="preserve">inflammation of the liver</t>
  </si>
  <si>
    <t xml:space="preserve">hep-uh-TY-tis</t>
  </si>
  <si>
    <t xml:space="preserve">nephritis</t>
  </si>
  <si>
    <t xml:space="preserve">nephr | itis</t>
  </si>
  <si>
    <t xml:space="preserve">nephr/o + -itis</t>
  </si>
  <si>
    <t xml:space="preserve">inflammation of the kidney</t>
  </si>
  <si>
    <t xml:space="preserve">neh-FRY-tis</t>
  </si>
  <si>
    <t xml:space="preserve">dermatitis</t>
  </si>
  <si>
    <t xml:space="preserve">dermat | itis</t>
  </si>
  <si>
    <t xml:space="preserve">dermat/o + -itis</t>
  </si>
  <si>
    <t xml:space="preserve">inflammation of the skin</t>
  </si>
  <si>
    <t xml:space="preserve">der-muh-TY-tis</t>
  </si>
  <si>
    <t xml:space="preserve">cystitis</t>
  </si>
  <si>
    <t xml:space="preserve">cyst | itis</t>
  </si>
  <si>
    <t xml:space="preserve">cyst/o + -itis</t>
  </si>
  <si>
    <t xml:space="preserve">inflammation of the urinary bladder</t>
  </si>
  <si>
    <t xml:space="preserve">sis-TY-tis</t>
  </si>
  <si>
    <t xml:space="preserve">laryngitis</t>
  </si>
  <si>
    <t xml:space="preserve">laryng | itis</t>
  </si>
  <si>
    <t xml:space="preserve">laryng/o + -itis</t>
  </si>
  <si>
    <t xml:space="preserve">inflammation of the larynx (voice box)</t>
  </si>
  <si>
    <t xml:space="preserve">lair-in-JY-tis</t>
  </si>
  <si>
    <t xml:space="preserve">phlebitis</t>
  </si>
  <si>
    <t xml:space="preserve">phleb | itis</t>
  </si>
  <si>
    <t xml:space="preserve">phleb/o + -itis</t>
  </si>
  <si>
    <t xml:space="preserve">inflammation of a vein</t>
  </si>
  <si>
    <t xml:space="preserve">fleh-BY-tis</t>
  </si>
  <si>
    <t xml:space="preserve">encephalitis</t>
  </si>
  <si>
    <t xml:space="preserve">encephal | itis</t>
  </si>
  <si>
    <t xml:space="preserve">encephal/o + -itis</t>
  </si>
  <si>
    <t xml:space="preserve">inflammation of the brain</t>
  </si>
  <si>
    <t xml:space="preserve">en-sef-uh-LY-tis</t>
  </si>
  <si>
    <t xml:space="preserve">glossitis</t>
  </si>
  <si>
    <t xml:space="preserve">gloss | itis</t>
  </si>
  <si>
    <t xml:space="preserve">gloss/o + -itis</t>
  </si>
  <si>
    <t xml:space="preserve">inflammation of the tongue</t>
  </si>
  <si>
    <t xml:space="preserve">glos-SY-tis</t>
  </si>
  <si>
    <t xml:space="preserve">gingivitis</t>
  </si>
  <si>
    <t xml:space="preserve">gingiv | itis</t>
  </si>
  <si>
    <t xml:space="preserve">gingiv/o + -itis</t>
  </si>
  <si>
    <t xml:space="preserve">inflammation of the gums</t>
  </si>
  <si>
    <t xml:space="preserve">jin-jih-VY-tis</t>
  </si>
  <si>
    <t xml:space="preserve">colitis</t>
  </si>
  <si>
    <t xml:space="preserve">col | itis</t>
  </si>
  <si>
    <t xml:space="preserve">col/o + -itis</t>
  </si>
  <si>
    <t xml:space="preserve">inflammation of the colon</t>
  </si>
  <si>
    <t xml:space="preserve">koh-LY-tis</t>
  </si>
  <si>
    <t xml:space="preserve">appendectomy</t>
  </si>
  <si>
    <t xml:space="preserve">append | ectomy</t>
  </si>
  <si>
    <t xml:space="preserve">append/o + -ectomy</t>
  </si>
  <si>
    <t xml:space="preserve">surgical removal of the appendix</t>
  </si>
  <si>
    <t xml:space="preserve">ap-en-DEK-tuh-mee</t>
  </si>
  <si>
    <t xml:space="preserve">procedure</t>
  </si>
  <si>
    <t xml:space="preserve">tonsillectomy</t>
  </si>
  <si>
    <t xml:space="preserve">tonsill | ectomy</t>
  </si>
  <si>
    <t xml:space="preserve">tonsill/o + -ectomy</t>
  </si>
  <si>
    <t xml:space="preserve">surgical removal of the tonsils</t>
  </si>
  <si>
    <t xml:space="preserve">ton-sih-LEK-tuh-mee</t>
  </si>
  <si>
    <t xml:space="preserve">cholecystectomy</t>
  </si>
  <si>
    <t xml:space="preserve">cholecyst | ectomy</t>
  </si>
  <si>
    <t xml:space="preserve">cholecyst/o + -ectomy</t>
  </si>
  <si>
    <t xml:space="preserve">surgical removal of the gallbladder</t>
  </si>
  <si>
    <t xml:space="preserve">koh-lee-sis-TEK-tuh-mee</t>
  </si>
  <si>
    <t xml:space="preserve">craniotomy</t>
  </si>
  <si>
    <t xml:space="preserve">crani | otomy</t>
  </si>
  <si>
    <t xml:space="preserve">crani/o + -otomy</t>
  </si>
  <si>
    <t xml:space="preserve">an incision into the skull</t>
  </si>
  <si>
    <t xml:space="preserve">kray-nee-OT-uh-mee</t>
  </si>
  <si>
    <t xml:space="preserve">tracheostomy</t>
  </si>
  <si>
    <t xml:space="preserve">trache | ostomy</t>
  </si>
  <si>
    <t xml:space="preserve">trache/o + -ostomy</t>
  </si>
  <si>
    <t xml:space="preserve">a new surgical opening into the trachea (windpipe)</t>
  </si>
  <si>
    <t xml:space="preserve">tray-kee-OS-tuh-mee</t>
  </si>
  <si>
    <t xml:space="preserve">rhinoplasty</t>
  </si>
  <si>
    <t xml:space="preserve">rhin | o | plasty</t>
  </si>
  <si>
    <t xml:space="preserve">rhin/o + -plasty</t>
  </si>
  <si>
    <t xml:space="preserve">surgical repair of the nose</t>
  </si>
  <si>
    <t xml:space="preserve">RY-noh-plas-tee</t>
  </si>
  <si>
    <t xml:space="preserve">angioplasty</t>
  </si>
  <si>
    <t xml:space="preserve">angi | o | plasty</t>
  </si>
  <si>
    <t xml:space="preserve">angi/o + -plasty</t>
  </si>
  <si>
    <t xml:space="preserve">surgical repair of a blood vessel</t>
  </si>
  <si>
    <t xml:space="preserve">AN-jee-oh-plas-tee</t>
  </si>
  <si>
    <t xml:space="preserve">cardiomegaly</t>
  </si>
  <si>
    <t xml:space="preserve">cardi | o | megaly</t>
  </si>
  <si>
    <t xml:space="preserve">cardi/o + -megaly</t>
  </si>
  <si>
    <t xml:space="preserve">enlargement of the heart</t>
  </si>
  <si>
    <t xml:space="preserve">kar-dee-oh-MEG-uh-lee</t>
  </si>
  <si>
    <t xml:space="preserve">sign</t>
  </si>
  <si>
    <t xml:space="preserve">hepatomegaly</t>
  </si>
  <si>
    <t xml:space="preserve">hepat | o | megaly</t>
  </si>
  <si>
    <t xml:space="preserve">hepat/o + -megaly</t>
  </si>
  <si>
    <t xml:space="preserve">enlargement of the liver</t>
  </si>
  <si>
    <t xml:space="preserve">hep-uh-toh-MEG-uh-lee</t>
  </si>
  <si>
    <t xml:space="preserve">neuralgia</t>
  </si>
  <si>
    <t xml:space="preserve">neur | algia</t>
  </si>
  <si>
    <t xml:space="preserve">neur/o + -algia</t>
  </si>
  <si>
    <t xml:space="preserve">nerve pain</t>
  </si>
  <si>
    <t xml:space="preserve">noo-RAL-juh</t>
  </si>
  <si>
    <t xml:space="preserve">symptom</t>
  </si>
  <si>
    <t xml:space="preserve">myalgia</t>
  </si>
  <si>
    <t xml:space="preserve">my | algia</t>
  </si>
  <si>
    <t xml:space="preserve">my/o + -algia</t>
  </si>
  <si>
    <t xml:space="preserve">muscle pain</t>
  </si>
  <si>
    <t xml:space="preserve">my-AL-juh</t>
  </si>
  <si>
    <t xml:space="preserve">cephalalgia</t>
  </si>
  <si>
    <t xml:space="preserve">cephal | algia</t>
  </si>
  <si>
    <t xml:space="preserve">cephal/o + -algia</t>
  </si>
  <si>
    <t xml:space="preserve">headache</t>
  </si>
  <si>
    <t xml:space="preserve">sef-uh-LAL-juh</t>
  </si>
  <si>
    <t xml:space="preserve">otalgia</t>
  </si>
  <si>
    <t xml:space="preserve">ot | algia</t>
  </si>
  <si>
    <t xml:space="preserve">ot/o + -algia</t>
  </si>
  <si>
    <t xml:space="preserve">earache</t>
  </si>
  <si>
    <t xml:space="preserve">oh-TAL-juh</t>
  </si>
  <si>
    <t xml:space="preserve">odontalgia</t>
  </si>
  <si>
    <t xml:space="preserve">odont | algia</t>
  </si>
  <si>
    <t xml:space="preserve">odont/o + -algia</t>
  </si>
  <si>
    <t xml:space="preserve">toothache</t>
  </si>
  <si>
    <t xml:space="preserve">oh-don-TAL-jee-uh</t>
  </si>
  <si>
    <t xml:space="preserve">arthralgia</t>
  </si>
  <si>
    <t xml:space="preserve">arthr | algia</t>
  </si>
  <si>
    <t xml:space="preserve">arthr/o + -algia</t>
  </si>
  <si>
    <t xml:space="preserve">joint pain</t>
  </si>
  <si>
    <t xml:space="preserve">ar-THRAL-jee-uh</t>
  </si>
  <si>
    <t xml:space="preserve">dermatology</t>
  </si>
  <si>
    <t xml:space="preserve">dermat | o | logy</t>
  </si>
  <si>
    <t xml:space="preserve">dermat/o + -logy</t>
  </si>
  <si>
    <t xml:space="preserve">the study of the skin</t>
  </si>
  <si>
    <t xml:space="preserve">der-muh-TOL-uh-jee</t>
  </si>
  <si>
    <t xml:space="preserve">specialty</t>
  </si>
  <si>
    <t xml:space="preserve">neurology</t>
  </si>
  <si>
    <t xml:space="preserve">neur | o | logy</t>
  </si>
  <si>
    <t xml:space="preserve">neur/o + -logy</t>
  </si>
  <si>
    <t xml:space="preserve">the study of the nervous system</t>
  </si>
  <si>
    <t xml:space="preserve">noo-ROL-uh-jee</t>
  </si>
  <si>
    <t xml:space="preserve">pathology</t>
  </si>
  <si>
    <t xml:space="preserve">path | o | logy</t>
  </si>
  <si>
    <t xml:space="preserve">path/o + -logy</t>
  </si>
  <si>
    <t xml:space="preserve">the study of disease</t>
  </si>
  <si>
    <t xml:space="preserve">puh-THOL-uh-jee</t>
  </si>
  <si>
    <t xml:space="preserve">ophthalmology</t>
  </si>
  <si>
    <t xml:space="preserve">ophthalm | o | logy</t>
  </si>
  <si>
    <t xml:space="preserve">ophthalm/o + -logy</t>
  </si>
  <si>
    <t xml:space="preserve">the study of the eye</t>
  </si>
  <si>
    <t xml:space="preserve">off-thal-MOL-uh-jee</t>
  </si>
  <si>
    <t xml:space="preserve">bronchoscopy</t>
  </si>
  <si>
    <t xml:space="preserve">bronch | o | scopy</t>
  </si>
  <si>
    <t xml:space="preserve">bronch/o + -scopy</t>
  </si>
  <si>
    <t xml:space="preserve">visual examination of the airways with a scope</t>
  </si>
  <si>
    <t xml:space="preserve">brong-KOS-kuh-pee</t>
  </si>
  <si>
    <t xml:space="preserve">test</t>
  </si>
  <si>
    <t xml:space="preserve">lipoma</t>
  </si>
  <si>
    <t xml:space="preserve">lip | oma</t>
  </si>
  <si>
    <t xml:space="preserve">lip/o + -oma</t>
  </si>
  <si>
    <t xml:space="preserve">a benign (non-cancerous) tumor made of fat</t>
  </si>
  <si>
    <t xml:space="preserve">lih-POH-muh</t>
  </si>
  <si>
    <t xml:space="preserve">thrombosis</t>
  </si>
  <si>
    <t xml:space="preserve">thromb | osis</t>
  </si>
  <si>
    <t xml:space="preserve">thromb/o + -osis</t>
  </si>
  <si>
    <t xml:space="preserve">an abnormal condition of a blood clot forming in a vessel</t>
  </si>
  <si>
    <t xml:space="preserve">throm-BOH-sis</t>
  </si>
  <si>
    <t xml:space="preserve">cyanosis</t>
  </si>
  <si>
    <t xml:space="preserve">cyan | osis</t>
  </si>
  <si>
    <t xml:space="preserve">cyan/o + -osis</t>
  </si>
  <si>
    <t xml:space="preserve">bluish discoloration of the skin</t>
  </si>
  <si>
    <t xml:space="preserve">sy-uh-NOH-sis</t>
  </si>
  <si>
    <t xml:space="preserve">neuropathy</t>
  </si>
  <si>
    <t xml:space="preserve">neur | o | pathy</t>
  </si>
  <si>
    <t xml:space="preserve">neur/o + -pathy</t>
  </si>
  <si>
    <t xml:space="preserve">disease or damage of the nerves</t>
  </si>
  <si>
    <t xml:space="preserve">noo-ROP-uh-thee</t>
  </si>
  <si>
    <t xml:space="preserve">leukocyte</t>
  </si>
  <si>
    <t xml:space="preserve">leuk | o | cyte</t>
  </si>
  <si>
    <t xml:space="preserve">leuk/o + -cyte</t>
  </si>
  <si>
    <t xml:space="preserve">white blood cell</t>
  </si>
  <si>
    <t xml:space="preserve">LOO-koh-site</t>
  </si>
  <si>
    <t xml:space="preserve">body part</t>
  </si>
  <si>
    <t xml:space="preserve">erythrocyte</t>
  </si>
  <si>
    <t xml:space="preserve">erythr | o | cyte</t>
  </si>
  <si>
    <t xml:space="preserve">erythr/o + -cyte</t>
  </si>
  <si>
    <t xml:space="preserve">red blood cell</t>
  </si>
  <si>
    <t xml:space="preserve">eh-RITH-roh-site</t>
  </si>
  <si>
    <t xml:space="preserve">thrombocyte</t>
  </si>
  <si>
    <t xml:space="preserve">thromb | o | cyte</t>
  </si>
  <si>
    <t xml:space="preserve">thromb/o + -cyte</t>
  </si>
  <si>
    <t xml:space="preserve">platelet; a cell that helps blood clot</t>
  </si>
  <si>
    <t xml:space="preserve">THROM-boh-site</t>
  </si>
  <si>
    <t xml:space="preserve">leukopenia</t>
  </si>
  <si>
    <t xml:space="preserve">leuk | o | penia</t>
  </si>
  <si>
    <t xml:space="preserve">leuk/o + -penia</t>
  </si>
  <si>
    <t xml:space="preserve">too few white blood cells</t>
  </si>
  <si>
    <t xml:space="preserve">loo-koh-PEE-nee-uh</t>
  </si>
  <si>
    <t xml:space="preserve">hematuria</t>
  </si>
  <si>
    <t xml:space="preserve">hemat | uria</t>
  </si>
  <si>
    <t xml:space="preserve">hemat/o + -uria</t>
  </si>
  <si>
    <t xml:space="preserve">blood in the urine</t>
  </si>
  <si>
    <t xml:space="preserve">hee-muh-TOO-ree-uh</t>
  </si>
  <si>
    <t xml:space="preserve">rhinorrhea</t>
  </si>
  <si>
    <t xml:space="preserve">rhin | o | rrhea</t>
  </si>
  <si>
    <t xml:space="preserve">rhin/o + -rrhea</t>
  </si>
  <si>
    <t xml:space="preserve">runny nose; discharge from the nose</t>
  </si>
  <si>
    <t xml:space="preserve">ry-noh-REE-uh</t>
  </si>
  <si>
    <t xml:space="preserve">anemia</t>
  </si>
  <si>
    <t xml:space="preserve">an | emia</t>
  </si>
  <si>
    <t xml:space="preserve">a-, an- + -emia</t>
  </si>
  <si>
    <t xml:space="preserve">a lack of red blood cells or hemoglobin</t>
  </si>
  <si>
    <t xml:space="preserve">uh-NEE-mee-uh</t>
  </si>
  <si>
    <t xml:space="preserve">medium</t>
  </si>
  <si>
    <t xml:space="preserve">polyuria</t>
  </si>
  <si>
    <t xml:space="preserve">poly | uria</t>
  </si>
  <si>
    <t xml:space="preserve">poly- + -uria</t>
  </si>
  <si>
    <t xml:space="preserve">excessive urination</t>
  </si>
  <si>
    <t xml:space="preserve">pol-ee-YOOR-ee-uh</t>
  </si>
  <si>
    <t xml:space="preserve">apnea</t>
  </si>
  <si>
    <t xml:space="preserve">a | pnea</t>
  </si>
  <si>
    <t xml:space="preserve">a-, an- + -pnea</t>
  </si>
  <si>
    <t xml:space="preserve">absence of breathing</t>
  </si>
  <si>
    <t xml:space="preserve">AP-nee-uh</t>
  </si>
  <si>
    <t xml:space="preserve">tachypnea</t>
  </si>
  <si>
    <t xml:space="preserve">tachy | pnea</t>
  </si>
  <si>
    <t xml:space="preserve">tachy- + -pnea</t>
  </si>
  <si>
    <t xml:space="preserve">fast breathing</t>
  </si>
  <si>
    <t xml:space="preserve">tak-ip-NEE-uh</t>
  </si>
  <si>
    <t xml:space="preserve">dyspnea</t>
  </si>
  <si>
    <t xml:space="preserve">dys | pnea</t>
  </si>
  <si>
    <t xml:space="preserve">dys- + -pnea</t>
  </si>
  <si>
    <t xml:space="preserve">difficulty breathing</t>
  </si>
  <si>
    <t xml:space="preserve">DISP-nee-uh</t>
  </si>
  <si>
    <t xml:space="preserve">bradycardia</t>
  </si>
  <si>
    <t xml:space="preserve">brady | card | ia</t>
  </si>
  <si>
    <t xml:space="preserve">brady- + cardi/o + -ia</t>
  </si>
  <si>
    <t xml:space="preserve">slow heart rate</t>
  </si>
  <si>
    <t xml:space="preserve">brad-ee-KAR-dee-uh</t>
  </si>
  <si>
    <t xml:space="preserve">tachycardia</t>
  </si>
  <si>
    <t xml:space="preserve">tachy | card | ia</t>
  </si>
  <si>
    <t xml:space="preserve">tachy- + cardi/o + -ia</t>
  </si>
  <si>
    <t xml:space="preserve">fast heart rate</t>
  </si>
  <si>
    <t xml:space="preserve">tak-ih-KAR-dee-uh</t>
  </si>
  <si>
    <t xml:space="preserve">hypoglycemia</t>
  </si>
  <si>
    <t xml:space="preserve">hypo | glyc | emia</t>
  </si>
  <si>
    <t xml:space="preserve">hypo- + glyc/o + -emia</t>
  </si>
  <si>
    <t xml:space="preserve">below-normal blood sugar</t>
  </si>
  <si>
    <t xml:space="preserve">hy-poh-gly-SEE-mee-uh</t>
  </si>
  <si>
    <t xml:space="preserve">hyperglycemia</t>
  </si>
  <si>
    <t xml:space="preserve">hyper | glyc | emia</t>
  </si>
  <si>
    <t xml:space="preserve">hyper- + glyc/o + -emia</t>
  </si>
  <si>
    <t xml:space="preserve">above-normal blood sugar</t>
  </si>
  <si>
    <t xml:space="preserve">hy-per-gly-SEE-mee-uh</t>
  </si>
  <si>
    <t xml:space="preserve">hypertension</t>
  </si>
  <si>
    <t xml:space="preserve">hyper | tension</t>
  </si>
  <si>
    <t xml:space="preserve">hyper- + tension</t>
  </si>
  <si>
    <t xml:space="preserve">abnormally high blood pressure</t>
  </si>
  <si>
    <t xml:space="preserve">hy-per-TEN-shun</t>
  </si>
  <si>
    <t xml:space="preserve">pericarditis</t>
  </si>
  <si>
    <t xml:space="preserve">peri | card | itis</t>
  </si>
  <si>
    <t xml:space="preserve">peri- + cardi/o + -itis</t>
  </si>
  <si>
    <t xml:space="preserve">inflammation of the sac around the heart</t>
  </si>
  <si>
    <t xml:space="preserve">pair-ih-kar-DY-tis</t>
  </si>
  <si>
    <t xml:space="preserve">dysphagia</t>
  </si>
  <si>
    <t xml:space="preserve">dys | phag | ia</t>
  </si>
  <si>
    <t xml:space="preserve">dys- + phag/o + -ia</t>
  </si>
  <si>
    <t xml:space="preserve">difficulty swallowing</t>
  </si>
  <si>
    <t xml:space="preserve">dis-FAY-jee-uh</t>
  </si>
  <si>
    <t xml:space="preserve">hemiplegia</t>
  </si>
  <si>
    <t xml:space="preserve">hemi | plegia</t>
  </si>
  <si>
    <t xml:space="preserve">hemi- + -plegia</t>
  </si>
  <si>
    <t xml:space="preserve">paralysis of one side of the body</t>
  </si>
  <si>
    <t xml:space="preserve">hem-ee-PLEE-juh</t>
  </si>
  <si>
    <t xml:space="preserve">diarrhea</t>
  </si>
  <si>
    <t xml:space="preserve">dia | rrhea</t>
  </si>
  <si>
    <t xml:space="preserve">dia- + -rrhea</t>
  </si>
  <si>
    <t xml:space="preserve">frequent, loose, watery stools</t>
  </si>
  <si>
    <t xml:space="preserve">dy-uh-REE-uh</t>
  </si>
  <si>
    <t xml:space="preserve">endoscopy</t>
  </si>
  <si>
    <t xml:space="preserve">endo | scopy</t>
  </si>
  <si>
    <t xml:space="preserve">endo- + -scopy</t>
  </si>
  <si>
    <t xml:space="preserve">visual examination inside the body with a scope</t>
  </si>
  <si>
    <t xml:space="preserve">en-DOS-kuh-pee</t>
  </si>
  <si>
    <t xml:space="preserve">subcutaneous</t>
  </si>
  <si>
    <t xml:space="preserve">sub | cutane | ous</t>
  </si>
  <si>
    <t xml:space="preserve">sub- + cutane/o + -ous</t>
  </si>
  <si>
    <t xml:space="preserve">pertaining to below the skin</t>
  </si>
  <si>
    <t xml:space="preserve">sub-kyoo-TAY-nee-us</t>
  </si>
  <si>
    <t xml:space="preserve">descriptive word</t>
  </si>
  <si>
    <t xml:space="preserve">gastroenteritis</t>
  </si>
  <si>
    <t xml:space="preserve">gastr | o | enter | itis</t>
  </si>
  <si>
    <t xml:space="preserve">gastr/o + enter/o + -itis</t>
  </si>
  <si>
    <t xml:space="preserve">inflammation of the stomach and small intestine</t>
  </si>
  <si>
    <t xml:space="preserve">gas-troh-en-ter-EYE-tis</t>
  </si>
  <si>
    <t xml:space="preserve">hard</t>
  </si>
  <si>
    <t xml:space="preserve">osteoarthritis</t>
  </si>
  <si>
    <t xml:space="preserve">oste | o | arthr | itis</t>
  </si>
  <si>
    <t xml:space="preserve">oste/o + arthr/o + -itis</t>
  </si>
  <si>
    <t xml:space="preserve">inflammation of bone and joint; degenerative joint disease</t>
  </si>
  <si>
    <t xml:space="preserve">os-tee-oh-ar-THRY-tis</t>
  </si>
  <si>
    <t xml:space="preserve">osteoporosis</t>
  </si>
  <si>
    <t xml:space="preserve">oste | o | por | osis</t>
  </si>
  <si>
    <t xml:space="preserve">oste/o + por/o + -osis</t>
  </si>
  <si>
    <t xml:space="preserve">a condition of thin, porous bones that break easily</t>
  </si>
  <si>
    <t xml:space="preserve">os-tee-oh-puh-ROH-sis</t>
  </si>
  <si>
    <t xml:space="preserve">electrocardiogram</t>
  </si>
  <si>
    <t xml:space="preserve">electr | o | cardi | o | gram</t>
  </si>
  <si>
    <t xml:space="preserve">electr/o + cardi/o + -gram</t>
  </si>
  <si>
    <t xml:space="preserve">a record of the heart's electrical activity (ECG or EKG)</t>
  </si>
  <si>
    <t xml:space="preserve">ee-lek-troh-KAR-dee-oh-gram</t>
  </si>
  <si>
    <t xml:space="preserve">Pair ID</t>
  </si>
  <si>
    <t xml:space="preserve">Set</t>
  </si>
  <si>
    <t xml:space="preserve">Tile A text</t>
  </si>
  <si>
    <t xml:space="preserve">Tile A kind</t>
  </si>
  <si>
    <t xml:space="preserve">Tile B text</t>
  </si>
  <si>
    <t xml:space="preserve">Tile B kind</t>
  </si>
  <si>
    <t xml:space="preserve">Tile B image file</t>
  </si>
  <si>
    <t xml:space="preserve">Pronunciation (Tile A)</t>
  </si>
  <si>
    <t xml:space="preserve">Explanation shown after match</t>
  </si>
  <si>
    <t xml:space="preserve">Example terms (comma-separated)</t>
  </si>
  <si>
    <t xml:space="preserve">Why-quiz: correct answer</t>
  </si>
  <si>
    <t xml:space="preserve">Why-quiz: wrong option 1</t>
  </si>
  <si>
    <t xml:space="preserve">Why-quiz: wrong option 2</t>
  </si>
  <si>
    <t xml:space="preserve">Programs</t>
  </si>
  <si>
    <t xml:space="preserve">Conflict check</t>
  </si>
  <si>
    <t xml:space="preserve">P01</t>
  </si>
  <si>
    <t xml:space="preserve">Root → Anatomy</t>
  </si>
  <si>
    <t xml:space="preserve">1 Direct association</t>
  </si>
  <si>
    <t xml:space="preserve">anatomy</t>
  </si>
  <si>
    <t xml:space="preserve">heart.svg</t>
  </si>
  <si>
    <t xml:space="preserve">cardi/o is the combining form for the heart.</t>
  </si>
  <si>
    <t xml:space="preserve">cardiology, cardiomegaly, pericarditis</t>
  </si>
  <si>
    <t xml:space="preserve">cardi/o belongs to the cardiovascular system. Which organ pumps blood?</t>
  </si>
  <si>
    <t xml:space="preserve">All</t>
  </si>
  <si>
    <t xml:space="preserve">P02</t>
  </si>
  <si>
    <t xml:space="preserve">kidney.svg</t>
  </si>
  <si>
    <t xml:space="preserve">nephr/o is the combining form for the kidney.</t>
  </si>
  <si>
    <t xml:space="preserve">nephrology, nephrectomy, nephritis</t>
  </si>
  <si>
    <t xml:space="preserve">nephr/o belongs to the urinary system. Which organ filters blood to make urine?</t>
  </si>
  <si>
    <t xml:space="preserve">P03</t>
  </si>
  <si>
    <t xml:space="preserve">liver.svg</t>
  </si>
  <si>
    <t xml:space="preserve">hepat/o is the combining form for the liver.</t>
  </si>
  <si>
    <t xml:space="preserve">hepatitis, hepatomegaly, hepatology</t>
  </si>
  <si>
    <t xml:space="preserve">hepat/o belongs to the digestive system. Look for the large organ under the right ribs.</t>
  </si>
  <si>
    <t xml:space="preserve">P04</t>
  </si>
  <si>
    <t xml:space="preserve">bone.svg</t>
  </si>
  <si>
    <t xml:space="preserve">oste/o is the combining form for bone.</t>
  </si>
  <si>
    <t xml:space="preserve">osteoporosis, osteoarthritis, osteomyelitis</t>
  </si>
  <si>
    <t xml:space="preserve">oste/o belongs to the skeletal system, not an organ.</t>
  </si>
  <si>
    <t xml:space="preserve">P05</t>
  </si>
  <si>
    <t xml:space="preserve">Affix → Meaning</t>
  </si>
  <si>
    <t xml:space="preserve">2 Meaning</t>
  </si>
  <si>
    <t xml:space="preserve">rapid; fast</t>
  </si>
  <si>
    <t xml:space="preserve">meaning</t>
  </si>
  <si>
    <t xml:space="preserve">General / —</t>
  </si>
  <si>
    <t xml:space="preserve">tachy- is a prefix meaning rapid or fast.</t>
  </si>
  <si>
    <t xml:space="preserve">tachycardia, tachypnea</t>
  </si>
  <si>
    <t xml:space="preserve">tachy- describes speed. Is it the fast one or the slow one?</t>
  </si>
  <si>
    <t xml:space="preserve">speed-fast</t>
  </si>
  <si>
    <t xml:space="preserve">P06</t>
  </si>
  <si>
    <t xml:space="preserve">brady- is a prefix meaning slow.</t>
  </si>
  <si>
    <t xml:space="preserve">bradycardia, bradypnea</t>
  </si>
  <si>
    <t xml:space="preserve">brady- also describes speed. Is it the fast one or the slow one?</t>
  </si>
  <si>
    <t xml:space="preserve">speed-slow</t>
  </si>
  <si>
    <t xml:space="preserve">P07</t>
  </si>
  <si>
    <t xml:space="preserve">-itis is a suffix meaning inflammation.</t>
  </si>
  <si>
    <t xml:space="preserve">appendicitis, gastritis, arthritis</t>
  </si>
  <si>
    <t xml:space="preserve">-itis names a condition, not a procedure.</t>
  </si>
  <si>
    <t xml:space="preserve">P08</t>
  </si>
  <si>
    <t xml:space="preserve">-ectomy is a suffix meaning surgical removal (excision).</t>
  </si>
  <si>
    <t xml:space="preserve">appendectomy, tonsillectomy, cholecystectomy</t>
  </si>
  <si>
    <t xml:space="preserve">-ectomy names a procedure, not a condition.</t>
  </si>
  <si>
    <t xml:space="preserve">removal</t>
  </si>
  <si>
    <t xml:space="preserve">P09</t>
  </si>
  <si>
    <t xml:space="preserve">Term → Definition</t>
  </si>
  <si>
    <t xml:space="preserve">3 Component reasoning</t>
  </si>
  <si>
    <t xml:space="preserve">term</t>
  </si>
  <si>
    <t xml:space="preserve">definition</t>
  </si>
  <si>
    <t xml:space="preserve">Musculoskeletal</t>
  </si>
  <si>
    <t xml:space="preserve">arthr/o (joint) + -algia (pain) = pain in a joint.</t>
  </si>
  <si>
    <t xml:space="preserve">arthritis, myalgia, neuralgia</t>
  </si>
  <si>
    <t xml:space="preserve">Break it down: arthr/o means joint.</t>
  </si>
  <si>
    <t xml:space="preserve">arthr/o = joint, -algia = pain</t>
  </si>
  <si>
    <t xml:space="preserve">arthr/o = bone, -algia = swelling</t>
  </si>
  <si>
    <t xml:space="preserve">arthr/o = muscle, -algia = pain</t>
  </si>
  <si>
    <t xml:space="preserve">P10</t>
  </si>
  <si>
    <t xml:space="preserve">dys- (difficult) + -pnea (breathing) = difficult or labored breathing.</t>
  </si>
  <si>
    <t xml:space="preserve">apnea, tachypnea, orthopnea</t>
  </si>
  <si>
    <t xml:space="preserve">Break it down: -pnea means breathing.</t>
  </si>
  <si>
    <t xml:space="preserve">dys- = difficult, -pnea = breathing</t>
  </si>
  <si>
    <t xml:space="preserve">dys- = without, -pnea = heart rate</t>
  </si>
  <si>
    <t xml:space="preserve">dys- = fast, -pnea = breathing</t>
  </si>
  <si>
    <t xml:space="preserve">P11</t>
  </si>
  <si>
    <t xml:space="preserve">cyan/o (blue) + -osis (abnormal condition) = an abnormal bluish color of the skin or mucous membranes.</t>
  </si>
  <si>
    <t xml:space="preserve">cyanotic, acrocyanosis</t>
  </si>
  <si>
    <t xml:space="preserve">Break it down: cyan/o is a color.</t>
  </si>
  <si>
    <t xml:space="preserve">skin-color</t>
  </si>
  <si>
    <t xml:space="preserve">cyan/o = blue, -osis = abnormal condition</t>
  </si>
  <si>
    <t xml:space="preserve">cyan/o = blood, -osis = inflammation</t>
  </si>
  <si>
    <t xml:space="preserve">cyan/o = cold, -osis = abnormal condition</t>
  </si>
  <si>
    <t xml:space="preserve">P12</t>
  </si>
  <si>
    <t xml:space="preserve">hyper- (above normal) + tension (pressure) = blood pressure that stays above normal.</t>
  </si>
  <si>
    <t xml:space="preserve">hypotension, hyperglycemia</t>
  </si>
  <si>
    <t xml:space="preserve">Break it down: hyper- means above normal.</t>
  </si>
  <si>
    <t xml:space="preserve">blood-pressure</t>
  </si>
  <si>
    <t xml:space="preserve">hyper- = above normal, tension = pressure</t>
  </si>
  <si>
    <t xml:space="preserve">hyper- = below normal, tension = pressure</t>
  </si>
  <si>
    <t xml:space="preserve">hyper- = above normal, tension = muscle tightness</t>
  </si>
  <si>
    <t xml:space="preserve">Item ID</t>
  </si>
  <si>
    <t xml:space="preserve">Card text</t>
  </si>
  <si>
    <t xml:space="preserve">Card kind</t>
  </si>
  <si>
    <t xml:space="preserve">Picture file</t>
  </si>
  <si>
    <t xml:space="preserve">Main category</t>
  </si>
  <si>
    <t xml:space="preserve">Also accepted (optional)</t>
  </si>
  <si>
    <t xml:space="preserve">Why (shown after the drop)</t>
  </si>
  <si>
    <t xml:space="preserve">Note when an also-accepted bin is used</t>
  </si>
  <si>
    <t xml:space="preserve">S01</t>
  </si>
  <si>
    <t xml:space="preserve">root / combining form</t>
  </si>
  <si>
    <t xml:space="preserve">Body part</t>
  </si>
  <si>
    <t xml:space="preserve">cardi/o means heart.</t>
  </si>
  <si>
    <t xml:space="preserve">S02</t>
  </si>
  <si>
    <t xml:space="preserve">nephr/o means kidney.</t>
  </si>
  <si>
    <t xml:space="preserve">S03</t>
  </si>
  <si>
    <t xml:space="preserve">oste/o means bone.</t>
  </si>
  <si>
    <t xml:space="preserve">S04</t>
  </si>
  <si>
    <t xml:space="preserve">gastr/o means stomach.</t>
  </si>
  <si>
    <t xml:space="preserve">S05</t>
  </si>
  <si>
    <t xml:space="preserve">dermat/o means skin.</t>
  </si>
  <si>
    <t xml:space="preserve">S06</t>
  </si>
  <si>
    <t xml:space="preserve">pulmon/o means lung.</t>
  </si>
  <si>
    <t xml:space="preserve">S07</t>
  </si>
  <si>
    <t xml:space="preserve">myocardium</t>
  </si>
  <si>
    <t xml:space="preserve">full term</t>
  </si>
  <si>
    <t xml:space="preserve">my/o (muscle) + cardi (heart) + -um (structure): the heart muscle.</t>
  </si>
  <si>
    <t xml:space="preserve">my-oh-KAR-dee-um</t>
  </si>
  <si>
    <t xml:space="preserve">S08</t>
  </si>
  <si>
    <t xml:space="preserve">sternum</t>
  </si>
  <si>
    <t xml:space="preserve">The sternum is the breastbone.</t>
  </si>
  <si>
    <t xml:space="preserve">STER-num</t>
  </si>
  <si>
    <t xml:space="preserve">S09</t>
  </si>
  <si>
    <t xml:space="preserve">femur</t>
  </si>
  <si>
    <t xml:space="preserve">The femur is the thigh bone.</t>
  </si>
  <si>
    <t xml:space="preserve">FEE-mur</t>
  </si>
  <si>
    <t xml:space="preserve">S10</t>
  </si>
  <si>
    <t xml:space="preserve">left lower quadrant</t>
  </si>
  <si>
    <t xml:space="preserve">phrase</t>
  </si>
  <si>
    <t xml:space="preserve">A region of the abdomen, used to describe where pain or findings are located.</t>
  </si>
  <si>
    <t xml:space="preserve">S11</t>
  </si>
  <si>
    <t xml:space="preserve">picture</t>
  </si>
  <si>
    <t xml:space="preserve">A picture of the heart: a body part.</t>
  </si>
  <si>
    <t xml:space="preserve">S12</t>
  </si>
  <si>
    <t xml:space="preserve">A picture of a kidney: a body part.</t>
  </si>
  <si>
    <t xml:space="preserve">S13</t>
  </si>
  <si>
    <t xml:space="preserve">A picture of the liver: a body part.</t>
  </si>
  <si>
    <t xml:space="preserve">S14</t>
  </si>
  <si>
    <t xml:space="preserve">Sign or symptom</t>
  </si>
  <si>
    <t xml:space="preserve">-algia means pain, a symptom (arthralgia, myalgia).</t>
  </si>
  <si>
    <t xml:space="preserve">S15</t>
  </si>
  <si>
    <t xml:space="preserve">Condition</t>
  </si>
  <si>
    <t xml:space="preserve">-megaly means enlargement, usually a finding on exam or imaging (hepatomegaly).</t>
  </si>
  <si>
    <t xml:space="preserve">Enlargement is usually recorded as a finding (a sign), but it can also be listed as a diagnosis.</t>
  </si>
  <si>
    <t xml:space="preserve">S16</t>
  </si>
  <si>
    <t xml:space="preserve">dys- (difficult) + -pnea (breathing): difficulty breathing.</t>
  </si>
  <si>
    <t xml:space="preserve">S17</t>
  </si>
  <si>
    <t xml:space="preserve">cyan/o (blue) + -osis: bluish skin or lips, a sign of low oxygen.</t>
  </si>
  <si>
    <t xml:space="preserve">S18</t>
  </si>
  <si>
    <t xml:space="preserve">tachy- (fast) + cardi (heart) + -ia: a rapid heart rate, which you measure as a sign.</t>
  </si>
  <si>
    <t xml:space="preserve">Tachycardia is a sign you measure, and some forms are also diagnosed as a condition.</t>
  </si>
  <si>
    <t xml:space="preserve">S19</t>
  </si>
  <si>
    <t xml:space="preserve">edema</t>
  </si>
  <si>
    <t xml:space="preserve">Swelling from fluid in the tissues; a sign you can see and press.</t>
  </si>
  <si>
    <t xml:space="preserve">eh-DEE-muh</t>
  </si>
  <si>
    <t xml:space="preserve">S20</t>
  </si>
  <si>
    <t xml:space="preserve">pruritus</t>
  </si>
  <si>
    <t xml:space="preserve">Itching; a symptom the patient reports.</t>
  </si>
  <si>
    <t xml:space="preserve">proo-RY-tus</t>
  </si>
  <si>
    <t xml:space="preserve">S21</t>
  </si>
  <si>
    <t xml:space="preserve">hemat/o (blood) + -uria (urine): blood in the urine, a sign.</t>
  </si>
  <si>
    <t xml:space="preserve">S22</t>
  </si>
  <si>
    <t xml:space="preserve">vertigo</t>
  </si>
  <si>
    <t xml:space="preserve">A spinning sensation; a symptom the patient reports.</t>
  </si>
  <si>
    <t xml:space="preserve">VER-tih-goh</t>
  </si>
  <si>
    <t xml:space="preserve">S23</t>
  </si>
  <si>
    <t xml:space="preserve">nausea</t>
  </si>
  <si>
    <t xml:space="preserve">An urge to vomit; a symptom the patient reports.</t>
  </si>
  <si>
    <t xml:space="preserve">NAW-zee-uh</t>
  </si>
  <si>
    <t xml:space="preserve">S24</t>
  </si>
  <si>
    <t xml:space="preserve">shortness of breath</t>
  </si>
  <si>
    <t xml:space="preserve">Plain-language form of dyspnea; a symptom.</t>
  </si>
  <si>
    <t xml:space="preserve">S25</t>
  </si>
  <si>
    <t xml:space="preserve">-itis means inflammation and names a condition (gastritis, appendicitis).</t>
  </si>
  <si>
    <t xml:space="preserve">S26</t>
  </si>
  <si>
    <t xml:space="preserve">-osis means abnormal condition (osteoporosis).</t>
  </si>
  <si>
    <t xml:space="preserve">S27</t>
  </si>
  <si>
    <t xml:space="preserve">-oma means tumor or mass (carcinoma, lipoma).</t>
  </si>
  <si>
    <t xml:space="preserve">S28</t>
  </si>
  <si>
    <t xml:space="preserve">hyper- (above normal) + tension (pressure): high blood pressure, a diagnosis.</t>
  </si>
  <si>
    <t xml:space="preserve">S29</t>
  </si>
  <si>
    <t xml:space="preserve">pneumonia</t>
  </si>
  <si>
    <t xml:space="preserve">pneumon/o (lung) + -ia (condition): infection and inflammation of the lungs.</t>
  </si>
  <si>
    <t xml:space="preserve">noo-MOH-nee-uh</t>
  </si>
  <si>
    <t xml:space="preserve">S30</t>
  </si>
  <si>
    <t xml:space="preserve">oste/o (bone) + por/o (pore) + -osis (condition): thin, porous bones.</t>
  </si>
  <si>
    <t xml:space="preserve">S31</t>
  </si>
  <si>
    <t xml:space="preserve">gastr/o (stomach) + -itis (inflammation).</t>
  </si>
  <si>
    <t xml:space="preserve">S32</t>
  </si>
  <si>
    <t xml:space="preserve">an- (without, lacking) + -emia (blood condition): too few red blood cells or too little hemoglobin.</t>
  </si>
  <si>
    <t xml:space="preserve">S33</t>
  </si>
  <si>
    <t xml:space="preserve">myocardial infarction</t>
  </si>
  <si>
    <t xml:space="preserve">Death of heart muscle from blocked blood flow; a heart attack.</t>
  </si>
  <si>
    <t xml:space="preserve">my-oh-KAR-dee-ul in-FARK-shun</t>
  </si>
  <si>
    <t xml:space="preserve">S34</t>
  </si>
  <si>
    <t xml:space="preserve">diabetes mellitus</t>
  </si>
  <si>
    <t xml:space="preserve">A condition of high blood sugar from too little insulin or insulin resistance.</t>
  </si>
  <si>
    <t xml:space="preserve">dy-uh-BEE-teez MEL-ih-tus</t>
  </si>
  <si>
    <t xml:space="preserve">S35</t>
  </si>
  <si>
    <t xml:space="preserve">fracture</t>
  </si>
  <si>
    <t xml:space="preserve">fracture.svg</t>
  </si>
  <si>
    <t xml:space="preserve">A picture of a broken bone: a fracture is an injury, so it is a condition.</t>
  </si>
  <si>
    <t xml:space="preserve">S36</t>
  </si>
  <si>
    <t xml:space="preserve">Test or exam</t>
  </si>
  <si>
    <t xml:space="preserve">-scopy means visual examination with a scope (colonoscopy).</t>
  </si>
  <si>
    <t xml:space="preserve">SKUH-pee</t>
  </si>
  <si>
    <t xml:space="preserve">S37</t>
  </si>
  <si>
    <t xml:space="preserve">-gram means a record or image (electrocardiogram).</t>
  </si>
  <si>
    <t xml:space="preserve">S38</t>
  </si>
  <si>
    <t xml:space="preserve">-graphy</t>
  </si>
  <si>
    <t xml:space="preserve">-graphy means the process of recording (mammography).</t>
  </si>
  <si>
    <t xml:space="preserve">GRAF-ee</t>
  </si>
  <si>
    <t xml:space="preserve">S39</t>
  </si>
  <si>
    <t xml:space="preserve">electr/o (electricity) + cardi/o (heart) + -gram (record): a record of the heart's electrical activity.</t>
  </si>
  <si>
    <t xml:space="preserve">S40</t>
  </si>
  <si>
    <t xml:space="preserve">biopsy</t>
  </si>
  <si>
    <t xml:space="preserve">bi/o (life) + -opsy (view): removing tissue to examine it.</t>
  </si>
  <si>
    <t xml:space="preserve">BY-op-see</t>
  </si>
  <si>
    <t xml:space="preserve">S41</t>
  </si>
  <si>
    <t xml:space="preserve">colonoscopy</t>
  </si>
  <si>
    <t xml:space="preserve">colon/o (colon) + -scopy (visual exam).</t>
  </si>
  <si>
    <t xml:space="preserve">koh-luh-NOS-kuh-pee</t>
  </si>
  <si>
    <t xml:space="preserve">S42</t>
  </si>
  <si>
    <t xml:space="preserve">auscultation</t>
  </si>
  <si>
    <t xml:space="preserve">Listening to body sounds, usually with a stethoscope; an exam technique.</t>
  </si>
  <si>
    <t xml:space="preserve">aws-kul-TAY-shun</t>
  </si>
  <si>
    <t xml:space="preserve">S43</t>
  </si>
  <si>
    <t xml:space="preserve">complete blood count</t>
  </si>
  <si>
    <t xml:space="preserve">A lab test that counts red cells, white cells and platelets (CBC).</t>
  </si>
  <si>
    <t xml:space="preserve">S44</t>
  </si>
  <si>
    <t xml:space="preserve">Treatment</t>
  </si>
  <si>
    <t xml:space="preserve">-ectomy means surgical removal (appendectomy).</t>
  </si>
  <si>
    <t xml:space="preserve">S45</t>
  </si>
  <si>
    <t xml:space="preserve">-plasty means surgical repair (angioplasty).</t>
  </si>
  <si>
    <t xml:space="preserve">S46</t>
  </si>
  <si>
    <t xml:space="preserve">-otomy means cutting into, an incision (tracheotomy).</t>
  </si>
  <si>
    <t xml:space="preserve">S47</t>
  </si>
  <si>
    <t xml:space="preserve">append/o (appendix) + -ectomy (removal).</t>
  </si>
  <si>
    <t xml:space="preserve">S48</t>
  </si>
  <si>
    <t xml:space="preserve">angi/o (vessel) + -plasty (repair): opening a narrowed blood vessel.</t>
  </si>
  <si>
    <t xml:space="preserve">S49</t>
  </si>
  <si>
    <t xml:space="preserve">chemotherapy</t>
  </si>
  <si>
    <t xml:space="preserve">chem/o (drug, chemical) + therapy (treatment).</t>
  </si>
  <si>
    <t xml:space="preserve">kee-moh-THER-uh-pee</t>
  </si>
  <si>
    <t xml:space="preserve">S50</t>
  </si>
  <si>
    <t xml:space="preserve">trache/o (windpipe) + -stomy (new opening): a surgical airway.</t>
  </si>
  <si>
    <t xml:space="preserve">S51</t>
  </si>
  <si>
    <t xml:space="preserve">antibiotic</t>
  </si>
  <si>
    <t xml:space="preserve">anti- (against) + bi/o (life) + -tic: a medicine that treats bacterial infection.</t>
  </si>
  <si>
    <t xml:space="preserve">an-tih-by-OT-ik</t>
  </si>
  <si>
    <t xml:space="preserve">S52</t>
  </si>
  <si>
    <t xml:space="preserve">physical therapy</t>
  </si>
  <si>
    <t xml:space="preserve">Treatment with exercise and movement to restore function.</t>
  </si>
  <si>
    <t xml:space="preserve">S53</t>
  </si>
  <si>
    <t xml:space="preserve">IV fluids</t>
  </si>
  <si>
    <t xml:space="preserve">ivbag.svg</t>
  </si>
  <si>
    <t xml:space="preserve">A picture of an IV bag: giving fluids through a vein is a treatment.</t>
  </si>
  <si>
    <t xml:space="preserve">S54</t>
  </si>
  <si>
    <t xml:space="preserve">acute</t>
  </si>
  <si>
    <t xml:space="preserve">Course &amp; prognosis</t>
  </si>
  <si>
    <t xml:space="preserve">Sudden onset and usually short duration.</t>
  </si>
  <si>
    <t xml:space="preserve">uh-KYOOT</t>
  </si>
  <si>
    <t xml:space="preserve">S55</t>
  </si>
  <si>
    <t xml:space="preserve">chronic</t>
  </si>
  <si>
    <t xml:space="preserve">Long-lasting or recurring over time.</t>
  </si>
  <si>
    <t xml:space="preserve">KRON-ik</t>
  </si>
  <si>
    <t xml:space="preserve">S56</t>
  </si>
  <si>
    <t xml:space="preserve">benign</t>
  </si>
  <si>
    <t xml:space="preserve">Not cancerous and not spreading; a good outlook.</t>
  </si>
  <si>
    <t xml:space="preserve">bih-NINE</t>
  </si>
  <si>
    <t xml:space="preserve">S57</t>
  </si>
  <si>
    <t xml:space="preserve">malignant</t>
  </si>
  <si>
    <t xml:space="preserve">Cancerous; able to invade and spread; a more serious outlook.</t>
  </si>
  <si>
    <t xml:space="preserve">muh-LIG-nunt</t>
  </si>
  <si>
    <t xml:space="preserve">S58</t>
  </si>
  <si>
    <t xml:space="preserve">remission</t>
  </si>
  <si>
    <t xml:space="preserve">Signs and symptoms have decreased or disappeared.</t>
  </si>
  <si>
    <t xml:space="preserve">rih-MISH-un</t>
  </si>
  <si>
    <t xml:space="preserve">S59</t>
  </si>
  <si>
    <t xml:space="preserve">exacerbation</t>
  </si>
  <si>
    <t xml:space="preserve">A flare-up: a chronic condition suddenly gets worse.</t>
  </si>
  <si>
    <t xml:space="preserve">ig-zas-er-BAY-shun</t>
  </si>
  <si>
    <t xml:space="preserve">S60</t>
  </si>
  <si>
    <t xml:space="preserve">relapse</t>
  </si>
  <si>
    <t xml:space="preserve">A condition returns after improving.</t>
  </si>
  <si>
    <t xml:space="preserve">REE-laps</t>
  </si>
  <si>
    <t xml:space="preserve">S61</t>
  </si>
  <si>
    <t xml:space="preserve">guarded prognosis</t>
  </si>
  <si>
    <t xml:space="preserve">The outcome is uncertain; recovery is possible but not assured.</t>
  </si>
  <si>
    <t xml:space="preserve">S62</t>
  </si>
  <si>
    <t xml:space="preserve">(Kind-of-word rounds only)</t>
  </si>
  <si>
    <t xml:space="preserve">tachy- means rapid or fast.</t>
  </si>
  <si>
    <t xml:space="preserve">S63</t>
  </si>
  <si>
    <t xml:space="preserve">brady- means slow.</t>
  </si>
  <si>
    <t xml:space="preserve">S64</t>
  </si>
  <si>
    <t xml:space="preserve">hyper- means above normal or excessive.</t>
  </si>
  <si>
    <t xml:space="preserve">S65</t>
  </si>
  <si>
    <t xml:space="preserve">hypo- means below normal or deficient.</t>
  </si>
  <si>
    <t xml:space="preserve">S66</t>
  </si>
  <si>
    <t xml:space="preserve">dys- means difficult, painful or abnormal.</t>
  </si>
  <si>
    <t xml:space="preserve">S67</t>
  </si>
  <si>
    <t xml:space="preserve">peri- means around (pericardium).</t>
  </si>
  <si>
    <t xml:space="preserve">S68</t>
  </si>
  <si>
    <t xml:space="preserve">sub- means below or under (subcutaneous).</t>
  </si>
  <si>
    <t xml:space="preserve">S69</t>
  </si>
  <si>
    <t xml:space="preserve">poly- means many or much (polyuria).</t>
  </si>
  <si>
    <t xml:space="preserve">S70</t>
  </si>
  <si>
    <t xml:space="preserve">endo- means within (endoscopy).</t>
  </si>
  <si>
    <t xml:space="preserve">Term ID</t>
  </si>
  <si>
    <t xml:space="preserve">Part types (use |)</t>
  </si>
  <si>
    <t xml:space="preserve">Part meanings (use |)</t>
  </si>
  <si>
    <t xml:space="preserve">Textbook forms (use |)</t>
  </si>
  <si>
    <t xml:space="preserve">Also-accepted splits (separate with ;)</t>
  </si>
  <si>
    <t xml:space="preserve">Teaching note</t>
  </si>
  <si>
    <t xml:space="preserve">D01</t>
  </si>
  <si>
    <t xml:space="preserve">root | suffix</t>
  </si>
  <si>
    <t xml:space="preserve">stomach | inflammation</t>
  </si>
  <si>
    <t xml:space="preserve">gastr/o | -itis</t>
  </si>
  <si>
    <t xml:space="preserve">The o of gastr/o is dropped because -itis begins with a vowel.</t>
  </si>
  <si>
    <t xml:space="preserve">D02</t>
  </si>
  <si>
    <t xml:space="preserve">tonsils | surgical removal</t>
  </si>
  <si>
    <t xml:space="preserve">tonsill/o | -ectomy</t>
  </si>
  <si>
    <t xml:space="preserve">The o of tonsill/o is dropped because -ectomy begins with a vowel.</t>
  </si>
  <si>
    <t xml:space="preserve">D03</t>
  </si>
  <si>
    <t xml:space="preserve">joint | pain</t>
  </si>
  <si>
    <t xml:space="preserve">arthr/o | -algia</t>
  </si>
  <si>
    <t xml:space="preserve">D04</t>
  </si>
  <si>
    <t xml:space="preserve">root | cv | suffix</t>
  </si>
  <si>
    <t xml:space="preserve">liver | links the parts | enlargement</t>
  </si>
  <si>
    <t xml:space="preserve">hepat/o | o | -megaly</t>
  </si>
  <si>
    <t xml:space="preserve">The o stays because -megaly begins with a consonant.</t>
  </si>
  <si>
    <t xml:space="preserve">D05</t>
  </si>
  <si>
    <t xml:space="preserve">cardiology</t>
  </si>
  <si>
    <t xml:space="preserve">cardi | o | logy</t>
  </si>
  <si>
    <t xml:space="preserve">heart | links the parts | study of</t>
  </si>
  <si>
    <t xml:space="preserve">cardi/o | o | -logy</t>
  </si>
  <si>
    <t xml:space="preserve">the study of the heart</t>
  </si>
  <si>
    <t xml:space="preserve">kar-dee-OL-uh-jee</t>
  </si>
  <si>
    <t xml:space="preserve">D06</t>
  </si>
  <si>
    <t xml:space="preserve">skin | inflammation</t>
  </si>
  <si>
    <t xml:space="preserve">dermat/o | -itis</t>
  </si>
  <si>
    <t xml:space="preserve">D07</t>
  </si>
  <si>
    <t xml:space="preserve">nerve | pain</t>
  </si>
  <si>
    <t xml:space="preserve">neur/o | -algia</t>
  </si>
  <si>
    <t xml:space="preserve">D08</t>
  </si>
  <si>
    <t xml:space="preserve">appendix | surgical removal</t>
  </si>
  <si>
    <t xml:space="preserve">append/o | -ectomy</t>
  </si>
  <si>
    <t xml:space="preserve">D09</t>
  </si>
  <si>
    <t xml:space="preserve">nose | links the parts | surgical repair</t>
  </si>
  <si>
    <t xml:space="preserve">rhin/o | o | -plasty</t>
  </si>
  <si>
    <t xml:space="preserve">D10</t>
  </si>
  <si>
    <t xml:space="preserve">colon | o | scopy</t>
  </si>
  <si>
    <t xml:space="preserve">colon | links the parts | visual examination</t>
  </si>
  <si>
    <t xml:space="preserve">colon/o | o | -scopy</t>
  </si>
  <si>
    <t xml:space="preserve">visual examination of the colon</t>
  </si>
  <si>
    <t xml:space="preserve">D11</t>
  </si>
  <si>
    <t xml:space="preserve">brain | inflammation</t>
  </si>
  <si>
    <t xml:space="preserve">encephal/o | -itis</t>
  </si>
  <si>
    <t xml:space="preserve">D12</t>
  </si>
  <si>
    <t xml:space="preserve">hysterectomy</t>
  </si>
  <si>
    <t xml:space="preserve">hyster | ectomy</t>
  </si>
  <si>
    <t xml:space="preserve">uterus | surgical removal</t>
  </si>
  <si>
    <t xml:space="preserve">hyster/o | -ectomy</t>
  </si>
  <si>
    <t xml:space="preserve">surgical removal of the uterus</t>
  </si>
  <si>
    <t xml:space="preserve">his-ter-EK-tuh-mee</t>
  </si>
  <si>
    <t xml:space="preserve">D13</t>
  </si>
  <si>
    <t xml:space="preserve">prefix | root | suffix</t>
  </si>
  <si>
    <t xml:space="preserve">fast, rapid | heart | condition</t>
  </si>
  <si>
    <t xml:space="preserve">tachy- | cardi/o | -ia</t>
  </si>
  <si>
    <t xml:space="preserve">tachy | cardia</t>
  </si>
  <si>
    <t xml:space="preserve">a fast heart rate</t>
  </si>
  <si>
    <t xml:space="preserve">D14</t>
  </si>
  <si>
    <t xml:space="preserve">slow | heart | condition</t>
  </si>
  <si>
    <t xml:space="preserve">brady- | cardi/o | -ia</t>
  </si>
  <si>
    <t xml:space="preserve">brady | cardia</t>
  </si>
  <si>
    <t xml:space="preserve">a slow heart rate</t>
  </si>
  <si>
    <t xml:space="preserve">D15</t>
  </si>
  <si>
    <t xml:space="preserve">around | heart | inflammation</t>
  </si>
  <si>
    <t xml:space="preserve">peri- | cardi/o | -itis</t>
  </si>
  <si>
    <t xml:space="preserve">inflammation of the sac around the heart (the pericardium)</t>
  </si>
  <si>
    <t xml:space="preserve">D16</t>
  </si>
  <si>
    <t xml:space="preserve">endocarditis</t>
  </si>
  <si>
    <t xml:space="preserve">endo | card | itis</t>
  </si>
  <si>
    <t xml:space="preserve">within | heart | inflammation</t>
  </si>
  <si>
    <t xml:space="preserve">endo- | cardi/o | -itis</t>
  </si>
  <si>
    <t xml:space="preserve">inflammation of the inner lining of the heart</t>
  </si>
  <si>
    <t xml:space="preserve">en-doh-kar-DY-tis</t>
  </si>
  <si>
    <t xml:space="preserve">D17</t>
  </si>
  <si>
    <t xml:space="preserve">below, under | skin | pertaining to</t>
  </si>
  <si>
    <t xml:space="preserve">sub- | cutane/o | -ous</t>
  </si>
  <si>
    <t xml:space="preserve">D18</t>
  </si>
  <si>
    <t xml:space="preserve">below normal | sugar | blood condition</t>
  </si>
  <si>
    <t xml:space="preserve">hypo- | glyc/o | -emia</t>
  </si>
  <si>
    <t xml:space="preserve">D19</t>
  </si>
  <si>
    <t xml:space="preserve">above normal | sugar | blood condition</t>
  </si>
  <si>
    <t xml:space="preserve">hyper- | glyc/o | -emia</t>
  </si>
  <si>
    <t xml:space="preserve">D20</t>
  </si>
  <si>
    <t xml:space="preserve">difficult, painful | eat, swallow | condition</t>
  </si>
  <si>
    <t xml:space="preserve">dys- | phag/o | -ia</t>
  </si>
  <si>
    <t xml:space="preserve">dys | phagia</t>
  </si>
  <si>
    <t xml:space="preserve">D21</t>
  </si>
  <si>
    <t xml:space="preserve">poly | ur | ia</t>
  </si>
  <si>
    <t xml:space="preserve">many, much | urine | condition</t>
  </si>
  <si>
    <t xml:space="preserve">poly- | ur/o | -ia</t>
  </si>
  <si>
    <t xml:space="preserve">D22</t>
  </si>
  <si>
    <t xml:space="preserve">intravenous</t>
  </si>
  <si>
    <t xml:space="preserve">intra | ven | ous</t>
  </si>
  <si>
    <t xml:space="preserve">within | vein | pertaining to</t>
  </si>
  <si>
    <t xml:space="preserve">intra- | ven/o | -ous</t>
  </si>
  <si>
    <t xml:space="preserve">pertaining to within a vein</t>
  </si>
  <si>
    <t xml:space="preserve">in-truh-VEE-nus</t>
  </si>
  <si>
    <t xml:space="preserve">D23</t>
  </si>
  <si>
    <t xml:space="preserve">root | cv | root | suffix</t>
  </si>
  <si>
    <t xml:space="preserve">stomach | links the parts | intestines | inflammation</t>
  </si>
  <si>
    <t xml:space="preserve">gastr/o | o | enter/o | -itis</t>
  </si>
  <si>
    <t xml:space="preserve">inflammation of the stomach and intestines</t>
  </si>
  <si>
    <t xml:space="preserve">The o stays between two roots, even though enter/o begins with a vowel.</t>
  </si>
  <si>
    <t xml:space="preserve">D24</t>
  </si>
  <si>
    <t xml:space="preserve">root | cv | root | cv | suffix</t>
  </si>
  <si>
    <t xml:space="preserve">electricity | links the parts | heart | links the parts | record</t>
  </si>
  <si>
    <t xml:space="preserve">electr/o | o | cardi/o | o | -gram</t>
  </si>
  <si>
    <t xml:space="preserve">a record of the heart's electrical activity</t>
  </si>
  <si>
    <t xml:space="preserve">D25</t>
  </si>
  <si>
    <t xml:space="preserve">bone | links the parts | joint | inflammation</t>
  </si>
  <si>
    <t xml:space="preserve">oste/o | o | arthr/o | -itis</t>
  </si>
  <si>
    <t xml:space="preserve">D26</t>
  </si>
  <si>
    <t xml:space="preserve">chol | e | cyst | ectomy</t>
  </si>
  <si>
    <t xml:space="preserve">bile, gall | links the parts | bladder, sac | surgical removal</t>
  </si>
  <si>
    <t xml:space="preserve">chol/e | e | cyst/o | -ectomy</t>
  </si>
  <si>
    <t xml:space="preserve">chol/e uses e as its combining vowel, not o.</t>
  </si>
  <si>
    <t xml:space="preserve">D27</t>
  </si>
  <si>
    <t xml:space="preserve">hepatosplenomegaly</t>
  </si>
  <si>
    <t xml:space="preserve">hepat | o | splen | o | megaly</t>
  </si>
  <si>
    <t xml:space="preserve">liver | links the parts | spleen | links the parts | enlargement</t>
  </si>
  <si>
    <t xml:space="preserve">hepat/o | o | splen/o | o | -megaly</t>
  </si>
  <si>
    <t xml:space="preserve">enlargement of the liver and spleen</t>
  </si>
  <si>
    <t xml:space="preserve">hep-uh-toh-splee-noh-MEG-uh-lee</t>
  </si>
  <si>
    <t xml:space="preserve">D28</t>
  </si>
  <si>
    <t xml:space="preserve">myocardial</t>
  </si>
  <si>
    <t xml:space="preserve">my | o | cardi | al</t>
  </si>
  <si>
    <t xml:space="preserve">muscle | links the parts | heart | pertaining to</t>
  </si>
  <si>
    <t xml:space="preserve">my/o | o | cardi/o | -al</t>
  </si>
  <si>
    <t xml:space="preserve">pertaining to the heart muscle</t>
  </si>
  <si>
    <t xml:space="preserve">my-oh-KAR-dee-ul</t>
  </si>
  <si>
    <t xml:space="preserve">D29</t>
  </si>
  <si>
    <t xml:space="preserve">pericardiocentesis</t>
  </si>
  <si>
    <t xml:space="preserve">peri | cardi | o | centesis</t>
  </si>
  <si>
    <t xml:space="preserve">prefix | root | cv | suffix</t>
  </si>
  <si>
    <t xml:space="preserve">around | heart | links the parts | surgical puncture to remove fluid</t>
  </si>
  <si>
    <t xml:space="preserve">peri- | cardi/o | o | -centesis</t>
  </si>
  <si>
    <t xml:space="preserve">surgical puncture to remove fluid from the sac around the heart</t>
  </si>
  <si>
    <t xml:space="preserve">pair-ih-kar-dee-oh-sen-TEE-sis</t>
  </si>
  <si>
    <t xml:space="preserve">D30</t>
  </si>
  <si>
    <t xml:space="preserve">otorhinolaryngology</t>
  </si>
  <si>
    <t xml:space="preserve">ot | o | rhin | o | laryng | o | logy</t>
  </si>
  <si>
    <t xml:space="preserve">root | cv | root | cv | root | cv | suffix</t>
  </si>
  <si>
    <t xml:space="preserve">ear | links the parts | nose | links the parts | larynx, voice box | links the parts | study of</t>
  </si>
  <si>
    <t xml:space="preserve">ot/o | o | rhin/o | o | laryng/o | o | -logy</t>
  </si>
  <si>
    <t xml:space="preserve">the study of the ear, nose and throat (ENT)</t>
  </si>
  <si>
    <t xml:space="preserve">oh-toh-ry-noh-lair-in-GOL-uh-jee</t>
  </si>
  <si>
    <t xml:space="preserve">Case ID</t>
  </si>
  <si>
    <t xml:space="preserve">Program</t>
  </si>
  <si>
    <t xml:space="preserve">Case text</t>
  </si>
  <si>
    <t xml:space="preserve">Question</t>
  </si>
  <si>
    <t xml:space="preserve">Answer parts (in order)</t>
  </si>
  <si>
    <t xml:space="preserve">Tray tiles (12: answer + distractors)</t>
  </si>
  <si>
    <t xml:space="preserve">Body part affected</t>
  </si>
  <si>
    <t xml:space="preserve">Good to know</t>
  </si>
  <si>
    <t xml:space="preserve">B01</t>
  </si>
  <si>
    <t xml:space="preserve">All programs</t>
  </si>
  <si>
    <t xml:space="preserve">A patient reports burning pain in the upper abdomen after meals. An endoscopy shows that the lining of the stomach is red and inflamed.</t>
  </si>
  <si>
    <t xml:space="preserve">What is the diagnosis?</t>
  </si>
  <si>
    <t xml:space="preserve">peri- + epi- + gastr/o + enter/o + hepat/o + esophag/o + -itis + -algia + -ectomy + -ic + -um + -a</t>
  </si>
  <si>
    <t xml:space="preserve">Stomach · digestive system</t>
  </si>
  <si>
    <t xml:space="preserve">Condition (diagnosis)</t>
  </si>
  <si>
    <t xml:space="preserve">Common causes include H. pylori infection, NSAID pain relievers and alcohol. Compare gastralgia, which names only the pain.</t>
  </si>
  <si>
    <t xml:space="preserve">B02</t>
  </si>
  <si>
    <t xml:space="preserve">A 16-year-old has fever and pain in the lower right abdomen. The surgeon decides the appendix must come out.</t>
  </si>
  <si>
    <t xml:space="preserve">What is this surgery called?</t>
  </si>
  <si>
    <t xml:space="preserve">peri- + sub- + append/o + col/o + gastr/o + enter/o + -ectomy + -otomy + -ostomy + -itis + -ix + -ices</t>
  </si>
  <si>
    <t xml:space="preserve">Appendix · digestive system</t>
  </si>
  <si>
    <t xml:space="preserve">Procedure (surgery)</t>
  </si>
  <si>
    <t xml:space="preserve">-ectomy removes a part; -otomy only cuts into it. The condition that leads to this surgery is appendicitis, which uses a different form of the root: appendic/o.</t>
  </si>
  <si>
    <t xml:space="preserve">B03</t>
  </si>
  <si>
    <t xml:space="preserve">While examining the abdomen, the provider feels the edge of the liver well below the right rib margin. It is larger than normal.</t>
  </si>
  <si>
    <t xml:space="preserve">What is this exam finding called?</t>
  </si>
  <si>
    <t xml:space="preserve">peri- + hyper- + hepat/o + splen/o + cardi/o + nephr/o + -megaly + -itis + -logy + -ic + -a + -um</t>
  </si>
  <si>
    <t xml:space="preserve">Liver · digestive system</t>
  </si>
  <si>
    <t xml:space="preserve">Sign (exam finding)</t>
  </si>
  <si>
    <t xml:space="preserve">An enlarged liver is a sign, not a diagnosis. It can come from hepatitis, heart failure, fatty liver disease and other causes.</t>
  </si>
  <si>
    <t xml:space="preserve">B04</t>
  </si>
  <si>
    <t xml:space="preserve">An older adult says her knees and fingers ache, especially in the morning. On exam there is no redness or swelling.</t>
  </si>
  <si>
    <t xml:space="preserve">What term names what she is describing?</t>
  </si>
  <si>
    <t xml:space="preserve">peri- + sub- + arthr/o + oste/o + my/o + chondr/o + -algia + -itis + -plasty + -scopy + -um + -a</t>
  </si>
  <si>
    <t xml:space="preserve">Joints · musculoskeletal system</t>
  </si>
  <si>
    <t xml:space="preserve">Symptom</t>
  </si>
  <si>
    <t xml:space="preserve">Arthralgia is joint pain the patient reports. Arthritis means the joint is inflamed, which usually brings swelling, warmth or redness.</t>
  </si>
  <si>
    <t xml:space="preserve">B05</t>
  </si>
  <si>
    <t xml:space="preserve">EMT</t>
  </si>
  <si>
    <t xml:space="preserve">An EMT arrives to find a patient struggling to breathe. The patient's lips and fingertips have turned a bluish color.</t>
  </si>
  <si>
    <t xml:space="preserve">What is this sign called?</t>
  </si>
  <si>
    <t xml:space="preserve">an- + poly- + cyan/o + erythr/o + leuk/o + hemat/o + -osis + -cyte + -emia + -oma + -a + -ae</t>
  </si>
  <si>
    <t xml:space="preserve">Skin and mucous membranes; reflects blood oxygen</t>
  </si>
  <si>
    <t xml:space="preserve">Sign</t>
  </si>
  <si>
    <t xml:space="preserve">Cyanosis signals low oxygen in the blood. Central cyanosis (lips, tongue) is more concerning than bluish hands or feet alone.</t>
  </si>
  <si>
    <t xml:space="preserve">B06</t>
  </si>
  <si>
    <t xml:space="preserve">Dental</t>
  </si>
  <si>
    <t xml:space="preserve">During a cleaning, the hygienist notes red, puffy gums that bleed easily when probed. The teeth and bone are healthy.</t>
  </si>
  <si>
    <t xml:space="preserve">What condition does the patient have?</t>
  </si>
  <si>
    <t xml:space="preserve">peri- + sub- + gingiv/o + odont/o + gloss/o + stomat/o + -itis + -ectomy + -algia + -al + -a + -um</t>
  </si>
  <si>
    <t xml:space="preserve">Gums · oral cavity</t>
  </si>
  <si>
    <t xml:space="preserve">Gingivitis is the early, reversible stage of gum disease. Without treatment it can progress to periodontitis, which damages bone.</t>
  </si>
  <si>
    <t xml:space="preserve">B07</t>
  </si>
  <si>
    <t xml:space="preserve">A patient calls the dental office with a throbbing pain in a lower back tooth that gets worse with cold drinks.</t>
  </si>
  <si>
    <t xml:space="preserve">What is the medical term for this complaint?</t>
  </si>
  <si>
    <t xml:space="preserve">peri- + endo- + odont/o + gingiv/o + gloss/o + cheil/o + -algia + -itis + -logy + -ectomy + -a + -um</t>
  </si>
  <si>
    <t xml:space="preserve">Tooth · oral cavity</t>
  </si>
  <si>
    <t xml:space="preserve">Odontalgia is the formal term for a toothache. odont/o and dent/o both mean tooth.</t>
  </si>
  <si>
    <t xml:space="preserve">B08</t>
  </si>
  <si>
    <t xml:space="preserve">An X-ray shows compression fractures in three of the bones that make up the spinal column.</t>
  </si>
  <si>
    <t xml:space="preserve">Using the plural form, what are these bones called?</t>
  </si>
  <si>
    <t xml:space="preserve">vertebr/o + -ae</t>
  </si>
  <si>
    <t xml:space="preserve">inter- + sub- + vertebr/o + cost/o + crani/o + bronch/o + -al + -ectomy + -a + -ae + -us + -i</t>
  </si>
  <si>
    <t xml:space="preserve">VER-tuh-bray</t>
  </si>
  <si>
    <t xml:space="preserve">Spinal column · skeletal system</t>
  </si>
  <si>
    <t xml:space="preserve">Body part (plural)</t>
  </si>
  <si>
    <t xml:space="preserve">Words ending in -a form the plural with -ae: one vertebra, two vertebrae.</t>
  </si>
  <si>
    <t xml:space="preserve">B09</t>
  </si>
  <si>
    <t xml:space="preserve">A chest X-ray shows mucus blocking both of the main airways that branch off the trachea into the lungs.</t>
  </si>
  <si>
    <t xml:space="preserve">Using the plural form, what are these two airways called?</t>
  </si>
  <si>
    <t xml:space="preserve">bronch/o + -i</t>
  </si>
  <si>
    <t xml:space="preserve">endo- + peri- + bronch/o + trache/o + laryng/o + pneumon/o + -itis + -scopy + -us + -i + -a + -ae</t>
  </si>
  <si>
    <t xml:space="preserve">BRONG-ky</t>
  </si>
  <si>
    <t xml:space="preserve">Lower airway · respiratory system</t>
  </si>
  <si>
    <t xml:space="preserve">Words ending in -us form the plural with -i: one bronchus, two bronchi.</t>
  </si>
  <si>
    <t xml:space="preserve">B10</t>
  </si>
  <si>
    <t xml:space="preserve">An EMT checks the radial pulse of an adult sitting at rest and counts 128 beats per minute.</t>
  </si>
  <si>
    <t xml:space="preserve">What term describes this heart rate?</t>
  </si>
  <si>
    <t xml:space="preserve">tachy- + brady- + dys- + cardi/o + my/o + pneumon/o + -ia + -pnea + -megaly + -itis + -logy + -um</t>
  </si>
  <si>
    <t xml:space="preserve">Heart · cardiovascular system</t>
  </si>
  <si>
    <t xml:space="preserve">Sign (vital sign)</t>
  </si>
  <si>
    <t xml:space="preserve">In adults, a resting heart rate over 100 is tachycardia and under 60 is bradycardia.</t>
  </si>
  <si>
    <t xml:space="preserve">B11</t>
  </si>
  <si>
    <t xml:space="preserve">CNA / Nursing</t>
  </si>
  <si>
    <t xml:space="preserve">A patient with diabetes took insulin but skipped lunch. Now he is shaky, sweaty and confused. A fingerstick glucose reads 48 mg/dL.</t>
  </si>
  <si>
    <t xml:space="preserve">What condition is he experiencing?</t>
  </si>
  <si>
    <t xml:space="preserve">hypo- + hyper- + an- + poly- + glyc/o + hemat/o + nephr/o + -emia + -uria + -ia + -a + -is</t>
  </si>
  <si>
    <t xml:space="preserve">Blood · endocrine system</t>
  </si>
  <si>
    <t xml:space="preserve">A glucose below 70 mg/dL is generally considered low. Fast-acting sugar is the usual first treatment if the patient can swallow safely.</t>
  </si>
  <si>
    <t xml:space="preserve">B12</t>
  </si>
  <si>
    <t xml:space="preserve">A patient recovering from a stroke coughs and chokes whenever she tries to swallow food or water.</t>
  </si>
  <si>
    <t xml:space="preserve">What is this symptom called?</t>
  </si>
  <si>
    <t xml:space="preserve">dys- + a- + poly- + phag/o + phas/o + esophag/o + -ia + -pnea + -itis + -algia + -us + -a</t>
  </si>
  <si>
    <t xml:space="preserve">Throat and esophagus · digestive system</t>
  </si>
  <si>
    <t xml:space="preserve">Dysphagia puts patients at risk of aspiration. Aphagia means being unable to swallow at all.</t>
  </si>
  <si>
    <t xml:space="preserve">B13</t>
  </si>
  <si>
    <t xml:space="preserve">A patient has sharp chest pain that eases when he leans forward. Imaging shows that the sac surrounding the heart is inflamed.</t>
  </si>
  <si>
    <t xml:space="preserve">peri- + endo- + epi- + cardi/o + my/o + pleur/o + -itis + -algia + -megaly + -al + -um + -a</t>
  </si>
  <si>
    <t xml:space="preserve">Pericardium (sac around the heart) · cardiovascular system</t>
  </si>
  <si>
    <t xml:space="preserve">peri- (around) + cardi (heart) + -itis. Compare endocarditis (inner lining) and myocarditis (heart muscle).</t>
  </si>
  <si>
    <t xml:space="preserve">B14</t>
  </si>
  <si>
    <t xml:space="preserve">CCMA</t>
  </si>
  <si>
    <t xml:space="preserve">A patient calling the clinic says it burns and hurts every time she urinates.</t>
  </si>
  <si>
    <t xml:space="preserve">dys- + -uria</t>
  </si>
  <si>
    <t xml:space="preserve">dys- + poly- + an- + olig- + hemat/o + nephr/o + cyst/o + -uria + -emia + -itis + -is + -a</t>
  </si>
  <si>
    <t xml:space="preserve">dis-YOOR-ee-uh</t>
  </si>
  <si>
    <t xml:space="preserve">Urinary tract · urinary system</t>
  </si>
  <si>
    <t xml:space="preserve">Dysuria often points to a urinary tract infection. Hematuria (blood in the urine) is a sign that may appear with it.</t>
  </si>
  <si>
    <t xml:space="preserve">B15</t>
  </si>
  <si>
    <t xml:space="preserve">After reviewing the exam, lab results and chest X-ray, the physician identifies the patient's disease as pneumonia.</t>
  </si>
  <si>
    <t xml:space="preserve">What is the term for this identification of a disease?</t>
  </si>
  <si>
    <t xml:space="preserve">dia- + gnos/o + -is</t>
  </si>
  <si>
    <t xml:space="preserve">dia- + pro- + a- + gnos/o + path/o + cardi/o + -ia + -logy + -tic + -is + -es + -us</t>
  </si>
  <si>
    <t xml:space="preserve">dy-ug-NOH-sis</t>
  </si>
  <si>
    <t xml:space="preserve">Not a body part: a clinical concept</t>
  </si>
  <si>
    <t xml:space="preserve">Concept</t>
  </si>
  <si>
    <t xml:space="preserve">dia- (complete) + gnos (knowledge): complete knowledge of the problem. The plural is diagnoses.</t>
  </si>
  <si>
    <t xml:space="preserve">B16</t>
  </si>
  <si>
    <t xml:space="preserve">The physician tells the family that the patient should recover fully within a few weeks.</t>
  </si>
  <si>
    <t xml:space="preserve">What term names this prediction of the likely outcome?</t>
  </si>
  <si>
    <t xml:space="preserve">pro- + gnos/o + -is</t>
  </si>
  <si>
    <t xml:space="preserve">prog-NOH-sis</t>
  </si>
  <si>
    <t xml:space="preserve">pro- (before) + gnos (knowledge): knowing beforehand. A prognosis may be described as good, guarded or poor.</t>
  </si>
  <si>
    <t xml:space="preserve">B17</t>
  </si>
  <si>
    <t xml:space="preserve">A patient keeps having painful attacks from gallstones. The surgeon plans to remove the gallbladder through small incisions.</t>
  </si>
  <si>
    <t xml:space="preserve">sub- + peri- + cholecyst/o + hepat/o + col/o + append/o + -ectomy + -otomy + -ostomy + -itis + -gram + -ix</t>
  </si>
  <si>
    <t xml:space="preserve">Gallbladder · digestive system</t>
  </si>
  <si>
    <t xml:space="preserve">cholecyst/o combines chol/e (bile) and cyst/o (bladder, sac): the bile bladder. Inflammation of it is cholecystitis.</t>
  </si>
  <si>
    <t xml:space="preserve">B18</t>
  </si>
  <si>
    <t xml:space="preserve">A child has vomiting and diarrhea after eating undercooked chicken. Both the stomach and the small intestine are inflamed.</t>
  </si>
  <si>
    <t xml:space="preserve">gastr/o + enter/o + -itis  (also accepted: enter/o + gastr/o + -itis)</t>
  </si>
  <si>
    <t xml:space="preserve">endo- + epi- + gastr/o + enter/o + col/o + esophag/o + -itis + -logy + -scopy + -ic + -us + -um</t>
  </si>
  <si>
    <t xml:space="preserve">Stomach and small intestine · digestive system</t>
  </si>
  <si>
    <t xml:space="preserve">Two roots are joined with the o kept between them. Watch for dehydration, especially in children and older adults.</t>
  </si>
  <si>
    <t xml:space="preserve">B19</t>
  </si>
  <si>
    <t xml:space="preserve">A patient reports crushing chest pain. The paramedic places electrodes on the chest and prints a tracing of the heart's electrical activity.</t>
  </si>
  <si>
    <t xml:space="preserve">What is the printed tracing called?</t>
  </si>
  <si>
    <t xml:space="preserve">endo- + peri- + electr/o + cardi/o + encephal/o + my/o + -gram + -graphy + -graph + -logy + -um + -a</t>
  </si>
  <si>
    <t xml:space="preserve">Test (the record)</t>
  </si>
  <si>
    <t xml:space="preserve">-gram is the record itself; -graphy is the process of recording. Abbreviated ECG or EKG.</t>
  </si>
  <si>
    <t xml:space="preserve">B20</t>
  </si>
  <si>
    <t xml:space="preserve">An older adult has hip pain and stiffness caused by years of wear-and-tear damage to the cartilage and bone of the joint.</t>
  </si>
  <si>
    <t xml:space="preserve">peri- + poly- + oste/o + arthr/o + chondr/o + my/o + -itis + -algia + -plasty + -oma + -um + -a</t>
  </si>
  <si>
    <t xml:space="preserve">Bone and joint · musculoskeletal system</t>
  </si>
  <si>
    <t xml:space="preserve">The most common form of arthritis. Severe cases may be treated with arthroplasty (joint replacement).</t>
  </si>
  <si>
    <t xml:space="preserve">B21</t>
  </si>
  <si>
    <t xml:space="preserve">An abdominal ultrasound shows that both the liver and the spleen are larger than normal.</t>
  </si>
  <si>
    <t xml:space="preserve">What is this finding called?</t>
  </si>
  <si>
    <t xml:space="preserve">hepat/o + splen/o + -megaly  (also accepted: splen/o + hepat/o + -megaly)</t>
  </si>
  <si>
    <t xml:space="preserve">peri- + hyper- + hepat/o + splen/o + cardi/o + nephr/o + -megaly + -itis + -ectomy + -ic + -a + -um</t>
  </si>
  <si>
    <t xml:space="preserve">Liver and spleen · digestive and lymphatic systems</t>
  </si>
  <si>
    <t xml:space="preserve">Sign (imaging finding)</t>
  </si>
  <si>
    <t xml:space="preserve">Both roots keep their o: hepat-o-splen-o-megaly. Causes include liver disease, infections such as mononucleosis, and blood disorders.</t>
  </si>
  <si>
    <t xml:space="preserve">Word</t>
  </si>
  <si>
    <t xml:space="preserve">Built from (in order)</t>
  </si>
  <si>
    <t xml:space="preserve">gastrectomy</t>
  </si>
  <si>
    <t xml:space="preserve">gastr/o + -ectomy</t>
  </si>
  <si>
    <t xml:space="preserve">surgical removal of all or part of the stomach</t>
  </si>
  <si>
    <t xml:space="preserve">gastrotomy</t>
  </si>
  <si>
    <t xml:space="preserve">gastr/o + -otomy</t>
  </si>
  <si>
    <t xml:space="preserve">an incision into the stomach</t>
  </si>
  <si>
    <t xml:space="preserve">gastralgia</t>
  </si>
  <si>
    <t xml:space="preserve">gastr/o + -algia</t>
  </si>
  <si>
    <t xml:space="preserve">stomach pain</t>
  </si>
  <si>
    <t xml:space="preserve">gastroscopy</t>
  </si>
  <si>
    <t xml:space="preserve">gastr/o + -scopy</t>
  </si>
  <si>
    <t xml:space="preserve">visual examination of the stomach with a scope</t>
  </si>
  <si>
    <t xml:space="preserve">inflammation of the stomach lining</t>
  </si>
  <si>
    <t xml:space="preserve">gastromegaly</t>
  </si>
  <si>
    <t xml:space="preserve">gastr/o + -megaly</t>
  </si>
  <si>
    <t xml:space="preserve">enlargement of the stomach</t>
  </si>
  <si>
    <t xml:space="preserve">hepatectomy</t>
  </si>
  <si>
    <t xml:space="preserve">hepat/o + -ectomy</t>
  </si>
  <si>
    <t xml:space="preserve">surgical removal of part of the liver</t>
  </si>
  <si>
    <t xml:space="preserve">hepatalgia</t>
  </si>
  <si>
    <t xml:space="preserve">hepat/o + -algia</t>
  </si>
  <si>
    <t xml:space="preserve">pain in the liver</t>
  </si>
  <si>
    <t xml:space="preserve">hepatology</t>
  </si>
  <si>
    <t xml:space="preserve">hepat/o + -logy</t>
  </si>
  <si>
    <t xml:space="preserve">the study of the liver</t>
  </si>
  <si>
    <t xml:space="preserve">cardi/o + -logy</t>
  </si>
  <si>
    <t xml:space="preserve">carditis</t>
  </si>
  <si>
    <t xml:space="preserve">cardi/o + -itis</t>
  </si>
  <si>
    <t xml:space="preserve">inflammation of the heart</t>
  </si>
  <si>
    <t xml:space="preserve">cardiogram</t>
  </si>
  <si>
    <t xml:space="preserve">cardi/o + -gram</t>
  </si>
  <si>
    <t xml:space="preserve">a record of the heart's activity</t>
  </si>
  <si>
    <t xml:space="preserve">cardiography</t>
  </si>
  <si>
    <t xml:space="preserve">cardi/o + -graphy</t>
  </si>
  <si>
    <t xml:space="preserve">the process of recording the heart's activity</t>
  </si>
  <si>
    <t xml:space="preserve">splenomegaly</t>
  </si>
  <si>
    <t xml:space="preserve">splen/o + -megaly</t>
  </si>
  <si>
    <t xml:space="preserve">enlargement of the spleen</t>
  </si>
  <si>
    <t xml:space="preserve">splenectomy</t>
  </si>
  <si>
    <t xml:space="preserve">splen/o + -ectomy</t>
  </si>
  <si>
    <t xml:space="preserve">surgical removal of the spleen</t>
  </si>
  <si>
    <t xml:space="preserve">arthritis</t>
  </si>
  <si>
    <t xml:space="preserve">arthr/o + -itis</t>
  </si>
  <si>
    <t xml:space="preserve">inflammation of a joint</t>
  </si>
  <si>
    <t xml:space="preserve">arthroplasty</t>
  </si>
  <si>
    <t xml:space="preserve">arthr/o + -plasty</t>
  </si>
  <si>
    <t xml:space="preserve">surgical repair or replacement of a joint</t>
  </si>
  <si>
    <t xml:space="preserve">osteitis</t>
  </si>
  <si>
    <t xml:space="preserve">oste/o + -itis</t>
  </si>
  <si>
    <t xml:space="preserve">inflammation of bone</t>
  </si>
  <si>
    <t xml:space="preserve">osteoplasty</t>
  </si>
  <si>
    <t xml:space="preserve">oste/o + -plasty</t>
  </si>
  <si>
    <t xml:space="preserve">surgical repair of bone</t>
  </si>
  <si>
    <t xml:space="preserve">degenerative inflammation of bone and joint</t>
  </si>
  <si>
    <t xml:space="preserve">myoplasty</t>
  </si>
  <si>
    <t xml:space="preserve">my/o + -plasty</t>
  </si>
  <si>
    <t xml:space="preserve">surgical repair of muscle</t>
  </si>
  <si>
    <t xml:space="preserve">abnormal bluish color of the skin or lips from low oxygen</t>
  </si>
  <si>
    <t xml:space="preserve">leukemia</t>
  </si>
  <si>
    <t xml:space="preserve">leuk/o + -emia</t>
  </si>
  <si>
    <t xml:space="preserve">a cancer of the blood-forming cells, with abnormal white blood cells</t>
  </si>
  <si>
    <t xml:space="preserve">vertebra</t>
  </si>
  <si>
    <t xml:space="preserve">vertebr/o + -a</t>
  </si>
  <si>
    <t xml:space="preserve">one bone of the spinal column (singular)</t>
  </si>
  <si>
    <t xml:space="preserve">vertebrae</t>
  </si>
  <si>
    <t xml:space="preserve">the bones of the spinal column (plural)</t>
  </si>
  <si>
    <t xml:space="preserve">vertebral</t>
  </si>
  <si>
    <t xml:space="preserve">vertebr/o + -al</t>
  </si>
  <si>
    <t xml:space="preserve">pertaining to a vertebra</t>
  </si>
  <si>
    <t xml:space="preserve">bronchus</t>
  </si>
  <si>
    <t xml:space="preserve">bronch/o + -us</t>
  </si>
  <si>
    <t xml:space="preserve">one of the two main airways into the lungs (singular)</t>
  </si>
  <si>
    <t xml:space="preserve">bronchi</t>
  </si>
  <si>
    <t xml:space="preserve">the two main airways into the lungs (plural)</t>
  </si>
  <si>
    <t xml:space="preserve">bronchitis</t>
  </si>
  <si>
    <t xml:space="preserve">bronch/o + -itis</t>
  </si>
  <si>
    <t xml:space="preserve">inflammation of the bronchi</t>
  </si>
  <si>
    <t xml:space="preserve">a fast heart rate (over 100 beats per minute in an adult at rest)</t>
  </si>
  <si>
    <t xml:space="preserve">a slow heart rate (under 60 beats per minute in an adult at rest)</t>
  </si>
  <si>
    <t xml:space="preserve">bradypnea</t>
  </si>
  <si>
    <t xml:space="preserve">brady- + -pnea</t>
  </si>
  <si>
    <t xml:space="preserve">slow breathing</t>
  </si>
  <si>
    <t xml:space="preserve">difficult or labored breathing</t>
  </si>
  <si>
    <t xml:space="preserve">a- + -pnea</t>
  </si>
  <si>
    <t xml:space="preserve">an- + -emia</t>
  </si>
  <si>
    <t xml:space="preserve">hyperemia</t>
  </si>
  <si>
    <t xml:space="preserve">hyper- + -emia</t>
  </si>
  <si>
    <t xml:space="preserve">an excess of blood in a part of the body</t>
  </si>
  <si>
    <t xml:space="preserve">anuria</t>
  </si>
  <si>
    <t xml:space="preserve">an- + -uria</t>
  </si>
  <si>
    <t xml:space="preserve">absence of urine production</t>
  </si>
  <si>
    <t xml:space="preserve">dysuria</t>
  </si>
  <si>
    <t xml:space="preserve">painful or difficult urination</t>
  </si>
  <si>
    <t xml:space="preserve">aphagia</t>
  </si>
  <si>
    <t xml:space="preserve">a- + phag/o + -ia</t>
  </si>
  <si>
    <t xml:space="preserve">inability to swallow</t>
  </si>
  <si>
    <t xml:space="preserve">endo- + cardi/o + -itis</t>
  </si>
  <si>
    <t xml:space="preserve">myocarditis</t>
  </si>
  <si>
    <t xml:space="preserve">my/o + cardi/o + -itis</t>
  </si>
  <si>
    <t xml:space="preserve">inflammation of the heart muscle</t>
  </si>
  <si>
    <t xml:space="preserve">pericardium</t>
  </si>
  <si>
    <t xml:space="preserve">peri- + cardi/o + -um</t>
  </si>
  <si>
    <t xml:space="preserve">the sac that surrounds the heart</t>
  </si>
  <si>
    <t xml:space="preserve">endocardium</t>
  </si>
  <si>
    <t xml:space="preserve">endo- + cardi/o + -um</t>
  </si>
  <si>
    <t xml:space="preserve">the inner lining of the heart</t>
  </si>
  <si>
    <t xml:space="preserve">my/o + cardi/o + -um</t>
  </si>
  <si>
    <t xml:space="preserve">the heart muscle</t>
  </si>
  <si>
    <t xml:space="preserve">diagnosis</t>
  </si>
  <si>
    <t xml:space="preserve">identifying a disease from its signs, symptoms and test results</t>
  </si>
  <si>
    <t xml:space="preserve">concept</t>
  </si>
  <si>
    <t xml:space="preserve">diagnoses</t>
  </si>
  <si>
    <t xml:space="preserve">dia- + gnos/o + -es</t>
  </si>
  <si>
    <t xml:space="preserve">more than one diagnosis (plural)</t>
  </si>
  <si>
    <t xml:space="preserve">prognosis</t>
  </si>
  <si>
    <t xml:space="preserve">the predicted course and outcome of a disease</t>
  </si>
  <si>
    <t xml:space="preserve">prognoses</t>
  </si>
  <si>
    <t xml:space="preserve">pro- + gnos/o + -es</t>
  </si>
  <si>
    <t xml:space="preserve">more than one prognosis (plural)</t>
  </si>
  <si>
    <t xml:space="preserve">enteritis</t>
  </si>
  <si>
    <t xml:space="preserve">enter/o + -itis</t>
  </si>
  <si>
    <t xml:space="preserve">inflammation of the small intestine</t>
  </si>
  <si>
    <t xml:space="preserve">enterocolitis</t>
  </si>
  <si>
    <t xml:space="preserve">enter/o + col/o + -itis</t>
  </si>
  <si>
    <t xml:space="preserve">inflammation of the small intestine and colon</t>
  </si>
  <si>
    <t xml:space="preserve">gastroenterology</t>
  </si>
  <si>
    <t xml:space="preserve">gastr/o + enter/o + -logy</t>
  </si>
  <si>
    <t xml:space="preserve">the study of the stomach and intestines</t>
  </si>
  <si>
    <t xml:space="preserve">electrocardiography</t>
  </si>
  <si>
    <t xml:space="preserve">electr/o + cardi/o + -graphy</t>
  </si>
  <si>
    <t xml:space="preserve">the process of recording the heart's electrical activity</t>
  </si>
  <si>
    <t xml:space="preserve">electroencephalogram</t>
  </si>
  <si>
    <t xml:space="preserve">electr/o + encephal/o + -gram</t>
  </si>
  <si>
    <t xml:space="preserve">a record of the brain's electrical activity (EEG)</t>
  </si>
  <si>
    <t xml:space="preserve">electroencephalography</t>
  </si>
  <si>
    <t xml:space="preserve">electr/o + encephal/o + -graphy</t>
  </si>
  <si>
    <t xml:space="preserve">the process of recording the brain's electrical activity</t>
  </si>
  <si>
    <t xml:space="preserve">encephalogram</t>
  </si>
  <si>
    <t xml:space="preserve">encephal/o + -gram</t>
  </si>
  <si>
    <t xml:space="preserve">a record or image of the brain</t>
  </si>
  <si>
    <t xml:space="preserve">hepat/o + splen/o + -megaly</t>
  </si>
  <si>
    <t xml:space="preserve">cholecystitis</t>
  </si>
  <si>
    <t xml:space="preserve">cholecyst/o + -itis</t>
  </si>
  <si>
    <t xml:space="preserve">inflammation of the gallbladder</t>
  </si>
  <si>
    <t xml:space="preserve">cholecystotomy</t>
  </si>
  <si>
    <t xml:space="preserve">cholecyst/o + -otomy</t>
  </si>
  <si>
    <t xml:space="preserve">an incision into the gallbladder</t>
  </si>
  <si>
    <t xml:space="preserve">gingivectomy</t>
  </si>
  <si>
    <t xml:space="preserve">gingiv/o + -ectomy</t>
  </si>
  <si>
    <t xml:space="preserve">surgical removal of gum tissue</t>
  </si>
  <si>
    <t xml:space="preserve">toothache; pain in a tooth</t>
  </si>
  <si>
    <t xml:space="preserve">dental</t>
  </si>
  <si>
    <t xml:space="preserve">dent/o + -al</t>
  </si>
  <si>
    <t xml:space="preserve">pertaining to the teeth</t>
  </si>
  <si>
    <t xml:space="preserve">odontology</t>
  </si>
  <si>
    <t xml:space="preserve">odont/o + -logy</t>
  </si>
  <si>
    <t xml:space="preserve">the study of the teeth; dentistry</t>
  </si>
  <si>
    <t xml:space="preserve">odontectomy</t>
  </si>
  <si>
    <t xml:space="preserve">odont/o + -ectomy</t>
  </si>
  <si>
    <t xml:space="preserve">surgical removal of a tooth</t>
  </si>
  <si>
    <t xml:space="preserve">gingivalgia</t>
  </si>
  <si>
    <t xml:space="preserve">gingiv/o + -algia</t>
  </si>
  <si>
    <t xml:space="preserve">pain in the gums</t>
  </si>
  <si>
    <t xml:space="preserve">enterology</t>
  </si>
  <si>
    <t xml:space="preserve">enter/o + -logy</t>
  </si>
  <si>
    <t xml:space="preserve">the study of the intestines</t>
  </si>
  <si>
    <t xml:space="preserve">enteroscopy</t>
  </si>
  <si>
    <t xml:space="preserve">enter/o + -scopy</t>
  </si>
  <si>
    <t xml:space="preserve">visual examination of the small intestine with a scope</t>
  </si>
  <si>
    <t xml:space="preserve">gastroenterocolitis</t>
  </si>
  <si>
    <t xml:space="preserve">gastr/o + enter/o + col/o + -itis</t>
  </si>
  <si>
    <t xml:space="preserve">inflammation of the stomach, small intestine and colon</t>
  </si>
  <si>
    <t xml:space="preserve">glycemia</t>
  </si>
  <si>
    <t xml:space="preserve">glyc/o + -emia</t>
  </si>
  <si>
    <t xml:space="preserve">the presence of glucose in the blood</t>
  </si>
  <si>
    <t xml:space="preserve">encephalography</t>
  </si>
  <si>
    <t xml:space="preserve">encephal/o + -graphy</t>
  </si>
  <si>
    <t xml:space="preserve">the process of recording or imaging the brain</t>
  </si>
  <si>
    <t xml:space="preserve">ostealgia</t>
  </si>
  <si>
    <t xml:space="preserve">oste/o + -algia</t>
  </si>
  <si>
    <t xml:space="preserve">bone pain</t>
  </si>
  <si>
    <t xml:space="preserve">splenitis</t>
  </si>
  <si>
    <t xml:space="preserve">splen/o + -itis</t>
  </si>
  <si>
    <t xml:space="preserve">inflammation of the spleen</t>
  </si>
  <si>
    <t xml:space="preserve">gastric</t>
  </si>
  <si>
    <t xml:space="preserve">gastr/o + -ic</t>
  </si>
  <si>
    <t xml:space="preserve">pertaining to the stomach</t>
  </si>
  <si>
    <t xml:space="preserve">gastroenteric</t>
  </si>
  <si>
    <t xml:space="preserve">gastr/o + enter/o + -ic</t>
  </si>
  <si>
    <t xml:space="preserve">pertaining to the stomach and intestines</t>
  </si>
  <si>
    <t xml:space="preserve">gastrohepatic</t>
  </si>
  <si>
    <t xml:space="preserve">gastr/o + hepat/o + -ic</t>
  </si>
  <si>
    <t xml:space="preserve">pertaining to the stomach and liver</t>
  </si>
  <si>
    <t xml:space="preserve">gastroenteralgia</t>
  </si>
  <si>
    <t xml:space="preserve">gastr/o + enter/o + -algia</t>
  </si>
  <si>
    <t xml:space="preserve">pain in the stomach and intestines</t>
  </si>
  <si>
    <t xml:space="preserve">enteralgia</t>
  </si>
  <si>
    <t xml:space="preserve">enter/o + -algia</t>
  </si>
  <si>
    <t xml:space="preserve">pain in the intestines</t>
  </si>
  <si>
    <t xml:space="preserve">enterectomy</t>
  </si>
  <si>
    <t xml:space="preserve">enter/o + -ectomy</t>
  </si>
  <si>
    <t xml:space="preserve">surgical removal of part of the intestine</t>
  </si>
  <si>
    <t xml:space="preserve">enteric</t>
  </si>
  <si>
    <t xml:space="preserve">enter/o + -ic</t>
  </si>
  <si>
    <t xml:space="preserve">pertaining to the intestines</t>
  </si>
  <si>
    <t xml:space="preserve">enterogastritis</t>
  </si>
  <si>
    <t xml:space="preserve">enter/o + gastr/o + -itis</t>
  </si>
  <si>
    <t xml:space="preserve">inflammation of the small intestine and stomach (another name for gastroenteritis)</t>
  </si>
  <si>
    <t xml:space="preserve">enterohepatitis</t>
  </si>
  <si>
    <t xml:space="preserve">enter/o + hepat/o + -itis</t>
  </si>
  <si>
    <t xml:space="preserve">inflammation of the intestine and liver</t>
  </si>
  <si>
    <t xml:space="preserve">hepatic</t>
  </si>
  <si>
    <t xml:space="preserve">hepat/o + -ic</t>
  </si>
  <si>
    <t xml:space="preserve">pertaining to the liver</t>
  </si>
  <si>
    <t xml:space="preserve">esophagitis</t>
  </si>
  <si>
    <t xml:space="preserve">esophag/o + -itis</t>
  </si>
  <si>
    <t xml:space="preserve">inflammation of the esophagus</t>
  </si>
  <si>
    <t xml:space="preserve">esophagalgia</t>
  </si>
  <si>
    <t xml:space="preserve">esophag/o + -algia</t>
  </si>
  <si>
    <t xml:space="preserve">pain in the esophagus</t>
  </si>
  <si>
    <t xml:space="preserve">esophagectomy</t>
  </si>
  <si>
    <t xml:space="preserve">esophag/o + -ectomy</t>
  </si>
  <si>
    <t xml:space="preserve">surgical removal of all or part of the esophagus</t>
  </si>
  <si>
    <t xml:space="preserve">esophagoscopy</t>
  </si>
  <si>
    <t xml:space="preserve">esophag/o + -scopy</t>
  </si>
  <si>
    <t xml:space="preserve">visual examination of the esophagus with a scope</t>
  </si>
  <si>
    <t xml:space="preserve">esophagus</t>
  </si>
  <si>
    <t xml:space="preserve">esophag/o + -us</t>
  </si>
  <si>
    <t xml:space="preserve">the muscular tube that carries food from the throat to the stomach</t>
  </si>
  <si>
    <t xml:space="preserve">epigastric</t>
  </si>
  <si>
    <t xml:space="preserve">epi- + gastr/o + -ic</t>
  </si>
  <si>
    <t xml:space="preserve">pertaining to the region above the stomach (upper middle abdomen)</t>
  </si>
  <si>
    <t xml:space="preserve">perigastritis</t>
  </si>
  <si>
    <t xml:space="preserve">peri- + gastr/o + -itis</t>
  </si>
  <si>
    <t xml:space="preserve">inflammation of the outer covering of the stomach</t>
  </si>
  <si>
    <t xml:space="preserve">append/o + -ix</t>
  </si>
  <si>
    <t xml:space="preserve">the small pouch attached to the large intestine (singular)</t>
  </si>
  <si>
    <t xml:space="preserve">appendices</t>
  </si>
  <si>
    <t xml:space="preserve">append/o + -ices</t>
  </si>
  <si>
    <t xml:space="preserve">more than one appendix (plural)</t>
  </si>
  <si>
    <t xml:space="preserve">colectomy</t>
  </si>
  <si>
    <t xml:space="preserve">col/o + -ectomy</t>
  </si>
  <si>
    <t xml:space="preserve">surgical removal of all or part of the colon</t>
  </si>
  <si>
    <t xml:space="preserve">colotomy</t>
  </si>
  <si>
    <t xml:space="preserve">col/o + -otomy</t>
  </si>
  <si>
    <t xml:space="preserve">an incision into the colon</t>
  </si>
  <si>
    <t xml:space="preserve">colostomy</t>
  </si>
  <si>
    <t xml:space="preserve">col/o + -ostomy</t>
  </si>
  <si>
    <t xml:space="preserve">a surgical opening from the colon through the abdominal wall</t>
  </si>
  <si>
    <t xml:space="preserve">colic</t>
  </si>
  <si>
    <t xml:space="preserve">col/o + -ic</t>
  </si>
  <si>
    <t xml:space="preserve">sharp, cramping abdominal pain; also, pertaining to the colon</t>
  </si>
  <si>
    <t xml:space="preserve">gastrocolic</t>
  </si>
  <si>
    <t xml:space="preserve">gastr/o + col/o + -ic</t>
  </si>
  <si>
    <t xml:space="preserve">pertaining to the stomach and colon</t>
  </si>
  <si>
    <t xml:space="preserve">pericolitis</t>
  </si>
  <si>
    <t xml:space="preserve">peri- + col/o + -itis</t>
  </si>
  <si>
    <t xml:space="preserve">inflammation of the tissue around the colon</t>
  </si>
  <si>
    <t xml:space="preserve">gastrostomy</t>
  </si>
  <si>
    <t xml:space="preserve">gastr/o + -ostomy</t>
  </si>
  <si>
    <t xml:space="preserve">a surgical opening into the stomach, often for a feeding tube</t>
  </si>
  <si>
    <t xml:space="preserve">gastroenterostomy</t>
  </si>
  <si>
    <t xml:space="preserve">gastr/o + enter/o + -ostomy</t>
  </si>
  <si>
    <t xml:space="preserve">a surgical connection between the stomach and the small intestine</t>
  </si>
  <si>
    <t xml:space="preserve">enterotomy</t>
  </si>
  <si>
    <t xml:space="preserve">enter/o + -otomy</t>
  </si>
  <si>
    <t xml:space="preserve">an incision into the intestine</t>
  </si>
  <si>
    <t xml:space="preserve">enterostomy</t>
  </si>
  <si>
    <t xml:space="preserve">enter/o + -ostomy</t>
  </si>
  <si>
    <t xml:space="preserve">a surgical opening into the intestine through the abdominal wall</t>
  </si>
  <si>
    <t xml:space="preserve">enterocolostomy</t>
  </si>
  <si>
    <t xml:space="preserve">enter/o + col/o + -ostomy</t>
  </si>
  <si>
    <t xml:space="preserve">a surgical connection between the small intestine and the colon</t>
  </si>
  <si>
    <t xml:space="preserve">splenic</t>
  </si>
  <si>
    <t xml:space="preserve">splen/o + -ic</t>
  </si>
  <si>
    <t xml:space="preserve">pertaining to the spleen</t>
  </si>
  <si>
    <t xml:space="preserve">cardia</t>
  </si>
  <si>
    <t xml:space="preserve">cardi/o + -a</t>
  </si>
  <si>
    <t xml:space="preserve">the upper opening of the stomach, where the esophagus joins it</t>
  </si>
  <si>
    <t xml:space="preserve">nephromegaly</t>
  </si>
  <si>
    <t xml:space="preserve">nephr/o + -megaly</t>
  </si>
  <si>
    <t xml:space="preserve">enlargement of a kidney</t>
  </si>
  <si>
    <t xml:space="preserve">nephrology</t>
  </si>
  <si>
    <t xml:space="preserve">nephr/o + -logy</t>
  </si>
  <si>
    <t xml:space="preserve">the study of the kidneys</t>
  </si>
  <si>
    <t xml:space="preserve">nephric</t>
  </si>
  <si>
    <t xml:space="preserve">nephr/o + -ic</t>
  </si>
  <si>
    <t xml:space="preserve">pertaining to the kidney</t>
  </si>
  <si>
    <t xml:space="preserve">nephrectomy</t>
  </si>
  <si>
    <t xml:space="preserve">nephr/o + -ectomy</t>
  </si>
  <si>
    <t xml:space="preserve">surgical removal of a kidney</t>
  </si>
  <si>
    <t xml:space="preserve">perihepatitis</t>
  </si>
  <si>
    <t xml:space="preserve">peri- + hepat/o + -itis</t>
  </si>
  <si>
    <t xml:space="preserve">inflammation of the covering of the liver</t>
  </si>
  <si>
    <t xml:space="preserve">perihepatic</t>
  </si>
  <si>
    <t xml:space="preserve">peri- + hepat/o + -ic</t>
  </si>
  <si>
    <t xml:space="preserve">pertaining to the area around the liver</t>
  </si>
  <si>
    <t xml:space="preserve">perisplenitis</t>
  </si>
  <si>
    <t xml:space="preserve">peri- + splen/o + -itis</t>
  </si>
  <si>
    <t xml:space="preserve">inflammation of the covering of the spleen</t>
  </si>
  <si>
    <t xml:space="preserve">perinephritis</t>
  </si>
  <si>
    <t xml:space="preserve">peri- + nephr/o + -itis</t>
  </si>
  <si>
    <t xml:space="preserve">inflammation of the tissue around a kidney</t>
  </si>
  <si>
    <t xml:space="preserve">perinephric</t>
  </si>
  <si>
    <t xml:space="preserve">peri- + nephr/o + -ic</t>
  </si>
  <si>
    <t xml:space="preserve">pertaining to the area around a kidney</t>
  </si>
  <si>
    <t xml:space="preserve">pericardia</t>
  </si>
  <si>
    <t xml:space="preserve">peri- + cardi/o + -a</t>
  </si>
  <si>
    <t xml:space="preserve">more than one pericardium (plural)</t>
  </si>
  <si>
    <t xml:space="preserve">pericardiectomy</t>
  </si>
  <si>
    <t xml:space="preserve">peri- + cardi/o + -ectomy</t>
  </si>
  <si>
    <t xml:space="preserve">surgical removal of part of the pericardium</t>
  </si>
  <si>
    <t xml:space="preserve">arthroscopy</t>
  </si>
  <si>
    <t xml:space="preserve">arthr/o + -scopy</t>
  </si>
  <si>
    <t xml:space="preserve">visual examination of the inside of a joint with a scope</t>
  </si>
  <si>
    <t xml:space="preserve">osteochondritis</t>
  </si>
  <si>
    <t xml:space="preserve">oste/o + chondr/o + -itis</t>
  </si>
  <si>
    <t xml:space="preserve">inflammation of bone and cartilage</t>
  </si>
  <si>
    <t xml:space="preserve">chondralgia</t>
  </si>
  <si>
    <t xml:space="preserve">chondr/o + -algia</t>
  </si>
  <si>
    <t xml:space="preserve">pain in cartilage</t>
  </si>
  <si>
    <t xml:space="preserve">chondritis</t>
  </si>
  <si>
    <t xml:space="preserve">chondr/o + -itis</t>
  </si>
  <si>
    <t xml:space="preserve">inflammation of cartilage</t>
  </si>
  <si>
    <t xml:space="preserve">chondroplasty</t>
  </si>
  <si>
    <t xml:space="preserve">chondr/o + -plasty</t>
  </si>
  <si>
    <t xml:space="preserve">surgical repair of cartilage</t>
  </si>
  <si>
    <t xml:space="preserve">periarthritis</t>
  </si>
  <si>
    <t xml:space="preserve">peri- + arthr/o + -itis</t>
  </si>
  <si>
    <t xml:space="preserve">inflammation of the tissues around a joint</t>
  </si>
  <si>
    <t xml:space="preserve">periosteum</t>
  </si>
  <si>
    <t xml:space="preserve">peri- + oste/o + -um</t>
  </si>
  <si>
    <t xml:space="preserve">the membrane that covers the outside of a bone</t>
  </si>
  <si>
    <t xml:space="preserve">perichondritis</t>
  </si>
  <si>
    <t xml:space="preserve">peri- + chondr/o + -itis</t>
  </si>
  <si>
    <t xml:space="preserve">inflammation of the membrane that covers cartilage</t>
  </si>
  <si>
    <t xml:space="preserve">leukoma</t>
  </si>
  <si>
    <t xml:space="preserve">leuk/o + -oma</t>
  </si>
  <si>
    <t xml:space="preserve">a dense white scar on the cornea of the eye</t>
  </si>
  <si>
    <t xml:space="preserve">hematoma</t>
  </si>
  <si>
    <t xml:space="preserve">hemat/o + -oma</t>
  </si>
  <si>
    <t xml:space="preserve">a collection of blood outside the blood vessels, forming a swelling</t>
  </si>
  <si>
    <t xml:space="preserve">hematocyte</t>
  </si>
  <si>
    <t xml:space="preserve">hemat/o + -cyte</t>
  </si>
  <si>
    <t xml:space="preserve">a blood cell</t>
  </si>
  <si>
    <t xml:space="preserve">gingival</t>
  </si>
  <si>
    <t xml:space="preserve">gingiv/o + -al</t>
  </si>
  <si>
    <t xml:space="preserve">pertaining to the gums</t>
  </si>
  <si>
    <t xml:space="preserve">gingiva</t>
  </si>
  <si>
    <t xml:space="preserve">gingiv/o + -a</t>
  </si>
  <si>
    <t xml:space="preserve">the gum tissue around the teeth (singular)</t>
  </si>
  <si>
    <t xml:space="preserve">gingivoglossitis</t>
  </si>
  <si>
    <t xml:space="preserve">gingiv/o + gloss/o + -itis</t>
  </si>
  <si>
    <t xml:space="preserve">inflammation of the gums and tongue</t>
  </si>
  <si>
    <t xml:space="preserve">glossectomy</t>
  </si>
  <si>
    <t xml:space="preserve">gloss/o + -ectomy</t>
  </si>
  <si>
    <t xml:space="preserve">surgical removal of all or part of the tongue</t>
  </si>
  <si>
    <t xml:space="preserve">glossalgia</t>
  </si>
  <si>
    <t xml:space="preserve">gloss/o + -algia</t>
  </si>
  <si>
    <t xml:space="preserve">pain in the tongue</t>
  </si>
  <si>
    <t xml:space="preserve">glossal</t>
  </si>
  <si>
    <t xml:space="preserve">gloss/o + -al</t>
  </si>
  <si>
    <t xml:space="preserve">pertaining to the tongue</t>
  </si>
  <si>
    <t xml:space="preserve">stomatitis</t>
  </si>
  <si>
    <t xml:space="preserve">stomat/o + -itis</t>
  </si>
  <si>
    <t xml:space="preserve">inflammation of the mouth</t>
  </si>
  <si>
    <t xml:space="preserve">stomatalgia</t>
  </si>
  <si>
    <t xml:space="preserve">stomat/o + -algia</t>
  </si>
  <si>
    <t xml:space="preserve">pain in the mouth</t>
  </si>
  <si>
    <t xml:space="preserve">periodontitis</t>
  </si>
  <si>
    <t xml:space="preserve">peri- + odont/o + -itis</t>
  </si>
  <si>
    <t xml:space="preserve">inflammation of the tissues that support the teeth, including bone</t>
  </si>
  <si>
    <t xml:space="preserve">periodontal</t>
  </si>
  <si>
    <t xml:space="preserve">peri- + odont/o + -al</t>
  </si>
  <si>
    <t xml:space="preserve">pertaining to the tissues around a tooth</t>
  </si>
  <si>
    <t xml:space="preserve">periodontology</t>
  </si>
  <si>
    <t xml:space="preserve">peri- + odont/o + -logy</t>
  </si>
  <si>
    <t xml:space="preserve">the study of the tissues that support the teeth</t>
  </si>
  <si>
    <t xml:space="preserve">endodontology</t>
  </si>
  <si>
    <t xml:space="preserve">endo- + odont/o + -logy</t>
  </si>
  <si>
    <t xml:space="preserve">the study of the tooth pulp and root (endodontics)</t>
  </si>
  <si>
    <t xml:space="preserve">subglossal</t>
  </si>
  <si>
    <t xml:space="preserve">sub- + gloss/o + -al</t>
  </si>
  <si>
    <t xml:space="preserve">beneath the tongue</t>
  </si>
  <si>
    <t xml:space="preserve">cheilitis</t>
  </si>
  <si>
    <t xml:space="preserve">cheil/o + -itis</t>
  </si>
  <si>
    <t xml:space="preserve">inflammation of the lips</t>
  </si>
  <si>
    <t xml:space="preserve">vertebrectomy</t>
  </si>
  <si>
    <t xml:space="preserve">vertebr/o + -ectomy</t>
  </si>
  <si>
    <t xml:space="preserve">surgical removal of a vertebra</t>
  </si>
  <si>
    <t xml:space="preserve">vertebrocostal</t>
  </si>
  <si>
    <t xml:space="preserve">vertebr/o + cost/o + -al</t>
  </si>
  <si>
    <t xml:space="preserve">pertaining to a vertebra and a rib</t>
  </si>
  <si>
    <t xml:space="preserve">costovertebral</t>
  </si>
  <si>
    <t xml:space="preserve">cost/o + vertebr/o + -al</t>
  </si>
  <si>
    <t xml:space="preserve">pertaining to a rib and a vertebra</t>
  </si>
  <si>
    <t xml:space="preserve">costal</t>
  </si>
  <si>
    <t xml:space="preserve">cost/o + -al</t>
  </si>
  <si>
    <t xml:space="preserve">pertaining to the ribs</t>
  </si>
  <si>
    <t xml:space="preserve">costectomy</t>
  </si>
  <si>
    <t xml:space="preserve">cost/o + -ectomy</t>
  </si>
  <si>
    <t xml:space="preserve">surgical removal of a rib</t>
  </si>
  <si>
    <t xml:space="preserve">costa</t>
  </si>
  <si>
    <t xml:space="preserve">cost/o + -a</t>
  </si>
  <si>
    <t xml:space="preserve">a rib (singular)</t>
  </si>
  <si>
    <t xml:space="preserve">costae</t>
  </si>
  <si>
    <t xml:space="preserve">cost/o + -ae</t>
  </si>
  <si>
    <t xml:space="preserve">ribs (plural)</t>
  </si>
  <si>
    <t xml:space="preserve">cranial</t>
  </si>
  <si>
    <t xml:space="preserve">crani/o + -al</t>
  </si>
  <si>
    <t xml:space="preserve">pertaining to the skull</t>
  </si>
  <si>
    <t xml:space="preserve">craniectomy</t>
  </si>
  <si>
    <t xml:space="preserve">crani/o + -ectomy</t>
  </si>
  <si>
    <t xml:space="preserve">surgical removal of part of the skull</t>
  </si>
  <si>
    <t xml:space="preserve">crania</t>
  </si>
  <si>
    <t xml:space="preserve">crani/o + -a</t>
  </si>
  <si>
    <t xml:space="preserve">more than one skull (plural of cranium)</t>
  </si>
  <si>
    <t xml:space="preserve">craniovertebral</t>
  </si>
  <si>
    <t xml:space="preserve">crani/o + vertebr/o + -al</t>
  </si>
  <si>
    <t xml:space="preserve">pertaining to the skull and vertebrae</t>
  </si>
  <si>
    <t xml:space="preserve">intervertebral</t>
  </si>
  <si>
    <t xml:space="preserve">inter- + vertebr/o + -al</t>
  </si>
  <si>
    <t xml:space="preserve">between two vertebrae</t>
  </si>
  <si>
    <t xml:space="preserve">intercostal</t>
  </si>
  <si>
    <t xml:space="preserve">inter- + cost/o + -al</t>
  </si>
  <si>
    <t xml:space="preserve">between the ribs</t>
  </si>
  <si>
    <t xml:space="preserve">subcostal</t>
  </si>
  <si>
    <t xml:space="preserve">sub- + cost/o + -al</t>
  </si>
  <si>
    <t xml:space="preserve">below a rib</t>
  </si>
  <si>
    <t xml:space="preserve">subvertebral</t>
  </si>
  <si>
    <t xml:space="preserve">sub- + vertebr/o + -al</t>
  </si>
  <si>
    <t xml:space="preserve">below a vertebra</t>
  </si>
  <si>
    <t xml:space="preserve">subcranial</t>
  </si>
  <si>
    <t xml:space="preserve">sub- + crani/o + -al</t>
  </si>
  <si>
    <t xml:space="preserve">below the skull</t>
  </si>
  <si>
    <t xml:space="preserve">tracheitis</t>
  </si>
  <si>
    <t xml:space="preserve">trache/o + -itis</t>
  </si>
  <si>
    <t xml:space="preserve">inflammation of the trachea</t>
  </si>
  <si>
    <t xml:space="preserve">tracheoscopy</t>
  </si>
  <si>
    <t xml:space="preserve">trache/o + -scopy</t>
  </si>
  <si>
    <t xml:space="preserve">visual examination of the trachea with a scope</t>
  </si>
  <si>
    <t xml:space="preserve">trachea</t>
  </si>
  <si>
    <t xml:space="preserve">trache/o + -a</t>
  </si>
  <si>
    <t xml:space="preserve">the windpipe (singular)</t>
  </si>
  <si>
    <t xml:space="preserve">tracheae</t>
  </si>
  <si>
    <t xml:space="preserve">trache/o + -ae</t>
  </si>
  <si>
    <t xml:space="preserve">more than one trachea (plural)</t>
  </si>
  <si>
    <t xml:space="preserve">tracheobronchitis</t>
  </si>
  <si>
    <t xml:space="preserve">trache/o + bronch/o + -itis</t>
  </si>
  <si>
    <t xml:space="preserve">inflammation of the trachea and bronchi</t>
  </si>
  <si>
    <t xml:space="preserve">laryngoscopy</t>
  </si>
  <si>
    <t xml:space="preserve">laryng/o + -scopy</t>
  </si>
  <si>
    <t xml:space="preserve">visual examination of the larynx with a scope</t>
  </si>
  <si>
    <t xml:space="preserve">laryngotracheitis</t>
  </si>
  <si>
    <t xml:space="preserve">laryng/o + trache/o + -itis</t>
  </si>
  <si>
    <t xml:space="preserve">inflammation of the larynx and trachea</t>
  </si>
  <si>
    <t xml:space="preserve">laryngotracheobronchitis</t>
  </si>
  <si>
    <t xml:space="preserve">laryng/o + trache/o + bronch/o + -itis</t>
  </si>
  <si>
    <t xml:space="preserve">inflammation of the larynx, trachea and bronchi (croup)</t>
  </si>
  <si>
    <t xml:space="preserve">pneumonitis</t>
  </si>
  <si>
    <t xml:space="preserve">pneumon/o + -itis</t>
  </si>
  <si>
    <t xml:space="preserve">inflammation of lung tissue</t>
  </si>
  <si>
    <t xml:space="preserve">pneumon/o + -ia</t>
  </si>
  <si>
    <t xml:space="preserve">infection and inflammation of the lungs</t>
  </si>
  <si>
    <t xml:space="preserve">peribronchitis</t>
  </si>
  <si>
    <t xml:space="preserve">peri- + bronch/o + -itis</t>
  </si>
  <si>
    <t xml:space="preserve">inflammation of the tissue around the bronchi</t>
  </si>
  <si>
    <t xml:space="preserve">myology</t>
  </si>
  <si>
    <t xml:space="preserve">my/o + -logy</t>
  </si>
  <si>
    <t xml:space="preserve">the study of muscles</t>
  </si>
  <si>
    <t xml:space="preserve">dysphasia</t>
  </si>
  <si>
    <t xml:space="preserve">dys- + phas/o + -ia</t>
  </si>
  <si>
    <t xml:space="preserve">impaired ability to speak or understand language</t>
  </si>
  <si>
    <t xml:space="preserve">aphasia</t>
  </si>
  <si>
    <t xml:space="preserve">a- + phas/o + -ia</t>
  </si>
  <si>
    <t xml:space="preserve">loss of the ability to speak or understand language</t>
  </si>
  <si>
    <t xml:space="preserve">polypnea</t>
  </si>
  <si>
    <t xml:space="preserve">poly- + -pnea</t>
  </si>
  <si>
    <t xml:space="preserve">rapid breathing</t>
  </si>
  <si>
    <t xml:space="preserve">polyphagia</t>
  </si>
  <si>
    <t xml:space="preserve">poly- + phag/o + -ia</t>
  </si>
  <si>
    <t xml:space="preserve">excessive eating or hunger</t>
  </si>
  <si>
    <t xml:space="preserve">cardialgia</t>
  </si>
  <si>
    <t xml:space="preserve">cardi/o + -algia</t>
  </si>
  <si>
    <t xml:space="preserve">pain in the heart region; also used for heartburn</t>
  </si>
  <si>
    <t xml:space="preserve">my/o + cardi/o + -al</t>
  </si>
  <si>
    <t xml:space="preserve">pleuritis</t>
  </si>
  <si>
    <t xml:space="preserve">pleur/o + -itis</t>
  </si>
  <si>
    <t xml:space="preserve">inflammation of the pleura (pleurisy)</t>
  </si>
  <si>
    <t xml:space="preserve">pleuralgia</t>
  </si>
  <si>
    <t xml:space="preserve">pleur/o + -algia</t>
  </si>
  <si>
    <t xml:space="preserve">pain in the pleura or side of the chest</t>
  </si>
  <si>
    <t xml:space="preserve">pleural</t>
  </si>
  <si>
    <t xml:space="preserve">pleur/o + -al</t>
  </si>
  <si>
    <t xml:space="preserve">pertaining to the pleura</t>
  </si>
  <si>
    <t xml:space="preserve">pleura</t>
  </si>
  <si>
    <t xml:space="preserve">pleur/o + -a</t>
  </si>
  <si>
    <t xml:space="preserve">the membrane that lines the lungs and chest cavity</t>
  </si>
  <si>
    <t xml:space="preserve">pericardial</t>
  </si>
  <si>
    <t xml:space="preserve">peri- + cardi/o + -al</t>
  </si>
  <si>
    <t xml:space="preserve">pertaining to the pericardium</t>
  </si>
  <si>
    <t xml:space="preserve">endocardial</t>
  </si>
  <si>
    <t xml:space="preserve">endo- + cardi/o + -al</t>
  </si>
  <si>
    <t xml:space="preserve">pertaining to the inner lining of the heart</t>
  </si>
  <si>
    <t xml:space="preserve">epicardial</t>
  </si>
  <si>
    <t xml:space="preserve">epi- + cardi/o + -al</t>
  </si>
  <si>
    <t xml:space="preserve">pertaining to the outer layer of the heart wall</t>
  </si>
  <si>
    <t xml:space="preserve">epicardium</t>
  </si>
  <si>
    <t xml:space="preserve">epi- + cardi/o + -um</t>
  </si>
  <si>
    <t xml:space="preserve">the outer layer of the heart wall</t>
  </si>
  <si>
    <t xml:space="preserve">oliguria</t>
  </si>
  <si>
    <t xml:space="preserve">olig- + -uria</t>
  </si>
  <si>
    <t xml:space="preserve">producing very little urine</t>
  </si>
  <si>
    <t xml:space="preserve">oligemia</t>
  </si>
  <si>
    <t xml:space="preserve">olig- + -emia</t>
  </si>
  <si>
    <t xml:space="preserve">a decreased volume of blood in the body</t>
  </si>
  <si>
    <t xml:space="preserve">agnosia</t>
  </si>
  <si>
    <t xml:space="preserve">a- + gnos/o + -ia</t>
  </si>
  <si>
    <t xml:space="preserve">inability to recognize objects, sounds or people despite normal senses</t>
  </si>
  <si>
    <t xml:space="preserve">diagnostic</t>
  </si>
  <si>
    <t xml:space="preserve">dia- + gnos/o + -tic</t>
  </si>
  <si>
    <t xml:space="preserve">pertaining to or used in diagnosis</t>
  </si>
  <si>
    <t xml:space="preserve">prognostic</t>
  </si>
  <si>
    <t xml:space="preserve">pro- + gnos/o + -tic</t>
  </si>
  <si>
    <t xml:space="preserve">pertaining to or used in prognosis</t>
  </si>
  <si>
    <t xml:space="preserve">cholecystostomy</t>
  </si>
  <si>
    <t xml:space="preserve">cholecyst/o + -ostomy</t>
  </si>
  <si>
    <t xml:space="preserve">a surgical opening into the gallbladder, usually for drainage</t>
  </si>
  <si>
    <t xml:space="preserve">cholecystogram</t>
  </si>
  <si>
    <t xml:space="preserve">cholecyst/o + -gram</t>
  </si>
  <si>
    <t xml:space="preserve">an X-ray image of the gallbladder</t>
  </si>
  <si>
    <t xml:space="preserve">hepatotomy</t>
  </si>
  <si>
    <t xml:space="preserve">hepat/o + -otomy</t>
  </si>
  <si>
    <t xml:space="preserve">an incision into the liver</t>
  </si>
  <si>
    <t xml:space="preserve">pericholecystitis</t>
  </si>
  <si>
    <t xml:space="preserve">peri- + cholecyst/o + -itis</t>
  </si>
  <si>
    <t xml:space="preserve">inflammation of the tissue around the gallbladder</t>
  </si>
  <si>
    <t xml:space="preserve">electrocardiograph</t>
  </si>
  <si>
    <t xml:space="preserve">electr/o + cardi/o + -graph</t>
  </si>
  <si>
    <t xml:space="preserve">the machine that records the heart's electrical activity</t>
  </si>
  <si>
    <t xml:space="preserve">electroencephalograph</t>
  </si>
  <si>
    <t xml:space="preserve">electr/o + encephal/o + -graph</t>
  </si>
  <si>
    <t xml:space="preserve">the machine that records the brain's electrical activity</t>
  </si>
  <si>
    <t xml:space="preserve">electromyogram</t>
  </si>
  <si>
    <t xml:space="preserve">electr/o + my/o + -gram</t>
  </si>
  <si>
    <t xml:space="preserve">a record of the electrical activity of muscles (EMG)</t>
  </si>
  <si>
    <t xml:space="preserve">electromyography</t>
  </si>
  <si>
    <t xml:space="preserve">electr/o + my/o + -graphy</t>
  </si>
  <si>
    <t xml:space="preserve">the process of recording the electrical activity of muscles</t>
  </si>
  <si>
    <t xml:space="preserve">electromyograph</t>
  </si>
  <si>
    <t xml:space="preserve">electr/o + my/o + -graph</t>
  </si>
  <si>
    <t xml:space="preserve">the machine that records the electrical activity of muscles</t>
  </si>
  <si>
    <t xml:space="preserve">cardiograph</t>
  </si>
  <si>
    <t xml:space="preserve">cardi/o + -graph</t>
  </si>
  <si>
    <t xml:space="preserve">an instrument that records the heart's activity</t>
  </si>
  <si>
    <t xml:space="preserve">encephalograph</t>
  </si>
  <si>
    <t xml:space="preserve">encephal/o + -graph</t>
  </si>
  <si>
    <t xml:space="preserve">an instrument that records or images the brain</t>
  </si>
  <si>
    <t xml:space="preserve">osteoma</t>
  </si>
  <si>
    <t xml:space="preserve">oste/o + -oma</t>
  </si>
  <si>
    <t xml:space="preserve">a benign tumor of bone</t>
  </si>
  <si>
    <t xml:space="preserve">osteochondroma</t>
  </si>
  <si>
    <t xml:space="preserve">oste/o + chondr/o + -oma</t>
  </si>
  <si>
    <t xml:space="preserve">a benign tumor of bone and cartilage</t>
  </si>
  <si>
    <t xml:space="preserve">chondroma</t>
  </si>
  <si>
    <t xml:space="preserve">chondr/o + -oma</t>
  </si>
  <si>
    <t xml:space="preserve">a benign tumor of cartilage</t>
  </si>
  <si>
    <t xml:space="preserve">myoma</t>
  </si>
  <si>
    <t xml:space="preserve">my/o + -oma</t>
  </si>
  <si>
    <t xml:space="preserve">a benign tumor of muscle</t>
  </si>
  <si>
    <t xml:space="preserve">polyarthritis</t>
  </si>
  <si>
    <t xml:space="preserve">poly- + arthr/o + -itis</t>
  </si>
  <si>
    <t xml:space="preserve">inflammation of several joints at once</t>
  </si>
  <si>
    <t xml:space="preserve">endogastritis</t>
  </si>
  <si>
    <t xml:space="preserve">endo- + gastr/o + -itis</t>
  </si>
  <si>
    <t xml:space="preserve">inflammation of the inner lining of the stomach</t>
  </si>
  <si>
    <t xml:space="preserve">gastroenterotomy</t>
  </si>
  <si>
    <t xml:space="preserve">gastr/o + enter/o + -otomy</t>
  </si>
  <si>
    <t xml:space="preserve">an incision into the stomach and intestine</t>
  </si>
  <si>
    <t xml:space="preserve">gastrocolostomy</t>
  </si>
  <si>
    <t xml:space="preserve">gastr/o + col/o + -ostomy</t>
  </si>
  <si>
    <t xml:space="preserve">a surgical connection between the stomach and the colon</t>
  </si>
  <si>
    <t xml:space="preserve">perienteritis</t>
  </si>
  <si>
    <t xml:space="preserve">peri- + enter/o + -itis</t>
  </si>
  <si>
    <t xml:space="preserve">inflammation of the outer covering of the intestine</t>
  </si>
  <si>
    <t xml:space="preserve">perilaryngitis</t>
  </si>
  <si>
    <t xml:space="preserve">peri- + laryng/o + -itis</t>
  </si>
  <si>
    <t xml:space="preserve">inflammation of the tissue around the larynx</t>
  </si>
  <si>
    <t xml:space="preserve">peripleuritis</t>
  </si>
  <si>
    <t xml:space="preserve">peri- + pleur/o + -itis</t>
  </si>
  <si>
    <t xml:space="preserve">inflammation of the tissue between the pleura and chest wall</t>
  </si>
  <si>
    <t xml:space="preserve">nephrocystitis</t>
  </si>
  <si>
    <t xml:space="preserve">nephr/o + cyst/o + -itis</t>
  </si>
  <si>
    <t xml:space="preserve">inflammation of the kidney and urinary bladder</t>
  </si>
  <si>
    <t xml:space="preserve">hepatostomy</t>
  </si>
  <si>
    <t xml:space="preserve">hepat/o + -ostomy</t>
  </si>
  <si>
    <t xml:space="preserve">a surgical opening into the liver, usually for drainage</t>
  </si>
  <si>
    <t xml:space="preserve">myography</t>
  </si>
  <si>
    <t xml:space="preserve">my/o + -graphy</t>
  </si>
  <si>
    <t xml:space="preserve">the process of recording muscle activity</t>
  </si>
  <si>
    <t xml:space="preserve">splenohepatomegaly</t>
  </si>
  <si>
    <t xml:space="preserve">splen/o + hepat/o + -megaly</t>
  </si>
  <si>
    <t xml:space="preserve">enlargement of the spleen and liver (another name for hepatosplenomegaly)</t>
  </si>
  <si>
    <t xml:space="preserve">Part</t>
  </si>
  <si>
    <t xml:space="preserve">Example terms</t>
  </si>
  <si>
    <t xml:space="preserve">Notes / common confusions</t>
  </si>
  <si>
    <t xml:space="preserve">cardiology, cardiomegaly</t>
  </si>
  <si>
    <t xml:space="preserve">nephrology, nephritis</t>
  </si>
  <si>
    <t xml:space="preserve">Compare ren/o (also kidney).</t>
  </si>
  <si>
    <t xml:space="preserve">hepatitis, hepatomegaly</t>
  </si>
  <si>
    <t xml:space="preserve">osteoporosis, osteoarthritis</t>
  </si>
  <si>
    <t xml:space="preserve">arthritis, arthralgia</t>
  </si>
  <si>
    <t xml:space="preserve">Often confused with oste/o.</t>
  </si>
  <si>
    <t xml:space="preserve">Pair with brady- on Level 5 boards.</t>
  </si>
  <si>
    <t xml:space="preserve">difficult; painful; abnormal</t>
  </si>
  <si>
    <t xml:space="preserve">dyspnea, dysphagia</t>
  </si>
  <si>
    <t xml:space="preserve">above normal; excessive</t>
  </si>
  <si>
    <t xml:space="preserve">hypertension, hyperglycemia</t>
  </si>
  <si>
    <t xml:space="preserve">Conflicts with poly- ('excessive'). Compare hypo-.</t>
  </si>
  <si>
    <t xml:space="preserve">appendicitis, gastritis</t>
  </si>
  <si>
    <t xml:space="preserve">surgical removal; excision</t>
  </si>
  <si>
    <t xml:space="preserve">appendectomy, tonsillectomy</t>
  </si>
  <si>
    <t xml:space="preserve">Compare -otomy (incision) and -ostomy (opening).</t>
  </si>
  <si>
    <t xml:space="preserve">arthralgia, myalgia</t>
  </si>
  <si>
    <t xml:space="preserve">Compare -dynia (also pain).</t>
  </si>
  <si>
    <t xml:space="preserve">dyspnea, apnea</t>
  </si>
  <si>
    <t xml:space="preserve">cyanosis, osteoporosis</t>
  </si>
  <si>
    <t xml:space="preserve">Word parts (separate with +)</t>
  </si>
  <si>
    <t xml:space="preserve">Plain-language version</t>
  </si>
  <si>
    <t xml:space="preserve">Clinical example sentence</t>
  </si>
  <si>
    <t xml:space="preserve">pain in a joint</t>
  </si>
  <si>
    <t xml:space="preserve">Patient reports arthralgia in both knees after the fall.</t>
  </si>
  <si>
    <t xml:space="preserve">trouble breathing</t>
  </si>
  <si>
    <t xml:space="preserve">Patient presents with dyspnea on exertion.</t>
  </si>
  <si>
    <t xml:space="preserve">bluish discoloration of the skin or mucous membranes from low oxygen</t>
  </si>
  <si>
    <t xml:space="preserve">skin or lips looking blue</t>
  </si>
  <si>
    <t xml:space="preserve">Circumoral cyanosis noted.</t>
  </si>
  <si>
    <t xml:space="preserve">blood pressure persistently above normal</t>
  </si>
  <si>
    <t xml:space="preserve">high blood pressure</t>
  </si>
  <si>
    <t xml:space="preserve">History of hypertension, controlled with medication.</t>
  </si>
  <si>
    <t xml:space="preserve">Sets</t>
  </si>
  <si>
    <t xml:space="preserve">Part types</t>
  </si>
  <si>
    <t xml:space="preserve">Tile A kinds</t>
  </si>
  <si>
    <t xml:space="preserve">Tile B kinds</t>
  </si>
  <si>
    <t xml:space="preserve">Levels</t>
  </si>
  <si>
    <t xml:space="preserve">Body systems</t>
  </si>
  <si>
    <t xml:space="preserve">Sort categories</t>
  </si>
  <si>
    <t xml:space="preserve">Card kinds</t>
  </si>
  <si>
    <t xml:space="preserve">Dissect levels</t>
  </si>
  <si>
    <t xml:space="preserve">In review</t>
  </si>
  <si>
    <t xml:space="preserve">Approved</t>
  </si>
  <si>
    <t xml:space="preserve">Term → Plain Language</t>
  </si>
  <si>
    <t xml:space="preserve">plain language</t>
  </si>
  <si>
    <t xml:space="preserve">Needs revision</t>
  </si>
  <si>
    <t xml:space="preserve">4 Clinical interpretation</t>
  </si>
  <si>
    <t xml:space="preserve">Build-a-Word</t>
  </si>
  <si>
    <t xml:space="preserve">word part</t>
  </si>
  <si>
    <t xml:space="preserve">Retired</t>
  </si>
  <si>
    <t xml:space="preserve">5 Similar-term discrimination</t>
  </si>
  <si>
    <t xml:space="preserve">Symptom → Term</t>
  </si>
  <si>
    <t xml:space="preserve">Reproductive</t>
  </si>
  <si>
    <t xml:space="preserve">Lymphatic / Immune</t>
  </si>
  <si>
    <t xml:space="preserve">Sensory (eye &amp; ear)</t>
  </si>
  <si>
    <t xml:space="preserve">Oral / Dental</t>
  </si>
</sst>
</file>

<file path=xl/styles.xml><?xml version="1.0" encoding="utf-8"?>
<styleSheet xmlns="http://schemas.openxmlformats.org/spreadsheetml/2006/main">
  <numFmts count="2">
    <numFmt numFmtId="164" formatCode="General"/>
    <numFmt numFmtId="165" formatCode="yyyy\-mm\-dd"/>
  </numFmts>
  <fonts count="9">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b val="true"/>
      <sz val="10"/>
      <name val="Arial"/>
      <family val="0"/>
      <charset val="1"/>
    </font>
    <font>
      <sz val="10"/>
      <name val="Arial"/>
      <family val="0"/>
      <charset val="1"/>
    </font>
    <font>
      <b val="true"/>
      <sz val="10"/>
      <color rgb="FFFFFFFF"/>
      <name val="Arial"/>
      <family val="0"/>
      <charset val="1"/>
    </font>
    <font>
      <sz val="10"/>
      <name val="Arial"/>
      <family val="2"/>
    </font>
  </fonts>
  <fills count="4">
    <fill>
      <patternFill patternType="none"/>
    </fill>
    <fill>
      <patternFill patternType="gray125"/>
    </fill>
    <fill>
      <patternFill patternType="solid">
        <fgColor rgb="FFFFF6CC"/>
        <bgColor rgb="FFFFFFFF"/>
      </patternFill>
    </fill>
    <fill>
      <patternFill patternType="solid">
        <fgColor rgb="FF16262B"/>
        <bgColor rgb="FF003300"/>
      </patternFill>
    </fill>
  </fills>
  <borders count="2">
    <border diagonalUp="false" diagonalDown="false">
      <left/>
      <right/>
      <top/>
      <bottom/>
      <diagonal/>
    </border>
    <border diagonalUp="false" diagonalDown="false">
      <left/>
      <right/>
      <top/>
      <bottom style="thin">
        <color rgb="FFCDD7D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center"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5" fontId="6" fillId="2" borderId="0" xfId="0" applyFont="true" applyBorder="false" applyAlignment="true" applyProtection="false">
      <alignment horizontal="general" vertical="top" textRotation="0" wrapText="true" indent="0" shrinkToFit="false"/>
      <protection locked="true" hidden="false"/>
    </xf>
    <xf numFmtId="165" fontId="6" fillId="2" borderId="1"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6262B"/>
          <bgColor rgb="FF000000"/>
        </patternFill>
      </fill>
    </dxf>
    <dxf>
      <fill>
        <patternFill patternType="solid">
          <fgColor rgb="FFFFF6CC"/>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CCFFFF"/>
      <rgbColor rgb="FF660066"/>
      <rgbColor rgb="FFFF8080"/>
      <rgbColor rgb="FF0066CC"/>
      <rgbColor rgb="FFCDD7D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626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3.xml"/><Relationship Id="rId3"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4.xml"/><Relationship Id="rId3"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5.xml"/><Relationship Id="rId3" Type="http://schemas.openxmlformats.org/officeDocument/2006/relationships/vmlDrawing" Target="../drawings/vmlDrawing3.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6.xml"/><Relationship Id="rId3" Type="http://schemas.openxmlformats.org/officeDocument/2006/relationships/vmlDrawing" Target="../drawings/vmlDrawing4.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7.xml"/><Relationship Id="rId3" Type="http://schemas.openxmlformats.org/officeDocument/2006/relationships/vmlDrawing" Target="../drawings/vmlDrawing5.v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90"/>
  </cols>
  <sheetData>
    <row r="1" customFormat="false" ht="19.5" hidden="false" customHeight="true" outlineLevel="0" collapsed="false">
      <c r="A1" s="2" t="s">
        <v>0</v>
      </c>
    </row>
    <row r="3" customFormat="false" ht="23.25" hidden="false" customHeight="true" outlineLevel="0" collapsed="false">
      <c r="A3" s="3" t="s">
        <v>1</v>
      </c>
      <c r="B3" s="4" t="s">
        <v>2</v>
      </c>
    </row>
    <row r="4" customFormat="false" ht="15" hidden="false" customHeight="true" outlineLevel="0" collapsed="false">
      <c r="A4" s="3" t="s">
        <v>3</v>
      </c>
      <c r="B4" s="4" t="s">
        <v>4</v>
      </c>
    </row>
    <row r="5" customFormat="false" ht="23.25" hidden="false" customHeight="true" outlineLevel="0" collapsed="false">
      <c r="A5" s="3" t="s">
        <v>5</v>
      </c>
      <c r="B5" s="4" t="s">
        <v>6</v>
      </c>
    </row>
    <row r="6" customFormat="false" ht="23.25" hidden="false" customHeight="true" outlineLevel="0" collapsed="false">
      <c r="A6" s="3" t="s">
        <v>7</v>
      </c>
      <c r="B6" s="4" t="s">
        <v>8</v>
      </c>
    </row>
    <row r="7" customFormat="false" ht="23.25" hidden="false" customHeight="true" outlineLevel="0" collapsed="false">
      <c r="A7" s="3" t="s">
        <v>9</v>
      </c>
      <c r="B7" s="4" t="s">
        <v>10</v>
      </c>
    </row>
    <row r="8" customFormat="false" ht="23.25" hidden="false" customHeight="true" outlineLevel="0" collapsed="false">
      <c r="A8" s="3" t="s">
        <v>11</v>
      </c>
      <c r="B8" s="4" t="s">
        <v>12</v>
      </c>
    </row>
    <row r="9" customFormat="false" ht="23.25" hidden="false" customHeight="true" outlineLevel="0" collapsed="false">
      <c r="A9" s="3" t="s">
        <v>13</v>
      </c>
      <c r="B9" s="4" t="s">
        <v>14</v>
      </c>
    </row>
    <row r="10" customFormat="false" ht="15" hidden="false" customHeight="true" outlineLevel="0" collapsed="false">
      <c r="A10" s="3" t="s">
        <v>15</v>
      </c>
      <c r="B10" s="4" t="s">
        <v>16</v>
      </c>
    </row>
    <row r="11" customFormat="false" ht="15" hidden="false" customHeight="true" outlineLevel="0" collapsed="false">
      <c r="A11" s="3"/>
      <c r="B11" s="4"/>
    </row>
    <row r="12" customFormat="false" ht="15" hidden="false" customHeight="true" outlineLevel="0" collapsed="false">
      <c r="A12" s="3" t="s">
        <v>17</v>
      </c>
      <c r="B12" s="4" t="n">
        <f aca="false">COUNTA('Match Pairs'!D2:D201)</f>
        <v>12</v>
      </c>
    </row>
    <row r="13" customFormat="false" ht="15" hidden="false" customHeight="true" outlineLevel="0" collapsed="false">
      <c r="A13" s="3" t="s">
        <v>18</v>
      </c>
      <c r="B13" s="4" t="n">
        <f aca="false">COUNTIF('Match Pairs'!X2:X201,"Ready")</f>
        <v>0</v>
      </c>
    </row>
    <row r="14" customFormat="false" ht="15" hidden="false" customHeight="true" outlineLevel="0" collapsed="false">
      <c r="A14" s="3" t="s">
        <v>19</v>
      </c>
      <c r="B14" s="4" t="n">
        <f aca="false">COUNTIF('Match Pairs'!T2:T201,"Draft")+COUNTIF('Match Pairs'!T2:T201,"In review")</f>
        <v>12</v>
      </c>
    </row>
    <row r="15" customFormat="false" ht="15" hidden="false" customHeight="true" outlineLevel="0" collapsed="false">
      <c r="A15" s="3" t="s">
        <v>20</v>
      </c>
      <c r="B15" s="4" t="n">
        <f aca="false">COUNTIF('Match Pairs'!T2:T201,"Needs revision")</f>
        <v>0</v>
      </c>
    </row>
    <row r="17" customFormat="false" ht="15" hidden="false" customHeight="true" outlineLevel="0" collapsed="false">
      <c r="A17" s="5" t="s">
        <v>21</v>
      </c>
    </row>
    <row r="18" customFormat="false" ht="15" hidden="false" customHeight="true" outlineLevel="0" collapsed="false">
      <c r="A18" s="6"/>
      <c r="B18" s="7" t="s">
        <v>22</v>
      </c>
    </row>
    <row r="20" customFormat="false" ht="23.25" hidden="false" customHeight="true" outlineLevel="0" collapsed="false">
      <c r="A20" s="5" t="s">
        <v>23</v>
      </c>
      <c r="B20" s="8" t="s">
        <v>24</v>
      </c>
    </row>
    <row r="21" customFormat="false" ht="15" hidden="false" customHeight="true" outlineLevel="0" collapsed="false">
      <c r="A21" s="5" t="s">
        <v>25</v>
      </c>
      <c r="B21" s="7" t="n">
        <f aca="false">COUNTIF('Sort Items'!P2:P201,"Ready")</f>
        <v>0</v>
      </c>
    </row>
    <row r="22" customFormat="false" ht="15" hidden="false" customHeight="true" outlineLevel="0" collapsed="false">
      <c r="A22" s="5" t="s">
        <v>26</v>
      </c>
      <c r="B22" s="7" t="n">
        <f aca="false">COUNTA('Sort Items'!B2:B201)</f>
        <v>70</v>
      </c>
    </row>
    <row r="24" customFormat="false" ht="23.25" hidden="false" customHeight="true" outlineLevel="0" collapsed="false">
      <c r="A24" s="5" t="s">
        <v>27</v>
      </c>
      <c r="B24" s="8" t="s">
        <v>28</v>
      </c>
    </row>
    <row r="25" customFormat="false" ht="15" hidden="false" customHeight="true" outlineLevel="0" collapsed="false">
      <c r="A25" s="5" t="s">
        <v>29</v>
      </c>
      <c r="B25" s="8" t="n">
        <f aca="false">COUNTIF('Dissect Terms'!R2:R201,"Ready")</f>
        <v>0</v>
      </c>
    </row>
    <row r="26" customFormat="false" ht="15" hidden="false" customHeight="true" outlineLevel="0" collapsed="false">
      <c r="A26" s="5" t="s">
        <v>30</v>
      </c>
      <c r="B26" s="8" t="n">
        <f aca="false">COUNTA('Dissect Terms'!B2:B201)</f>
        <v>30</v>
      </c>
    </row>
    <row r="28" customFormat="false" ht="23.25" hidden="false" customHeight="true" outlineLevel="0" collapsed="false">
      <c r="A28" s="5" t="s">
        <v>31</v>
      </c>
      <c r="B28" s="8" t="s">
        <v>32</v>
      </c>
    </row>
    <row r="29" customFormat="false" ht="15" hidden="false" customHeight="true" outlineLevel="0" collapsed="false">
      <c r="A29" s="5" t="s">
        <v>33</v>
      </c>
      <c r="B29" s="8" t="n">
        <f aca="false">COUNTIF('Build Cases'!Q2:Q201,"Ready")</f>
        <v>0</v>
      </c>
    </row>
    <row r="30" customFormat="false" ht="15" hidden="false" customHeight="true" outlineLevel="0" collapsed="false">
      <c r="A30" s="5" t="s">
        <v>34</v>
      </c>
      <c r="B30" s="8" t="n">
        <f aca="false">COUNTIF('Build Word List'!J2:J201,"Ready")</f>
        <v>0</v>
      </c>
    </row>
    <row r="32" customFormat="false" ht="23.85" hidden="false" customHeight="false" outlineLevel="0" collapsed="false">
      <c r="A32" s="9" t="s">
        <v>35</v>
      </c>
      <c r="B32" s="8" t="s">
        <v>36</v>
      </c>
    </row>
    <row r="33" customFormat="false" ht="15" hidden="false" customHeight="false" outlineLevel="0" collapsed="false">
      <c r="A33" s="9" t="s">
        <v>37</v>
      </c>
      <c r="B33" s="8" t="n">
        <f aca="false">COUNTA('Master Terms'!A2:A400)</f>
        <v>61</v>
      </c>
    </row>
    <row r="34" customFormat="false" ht="15" hidden="false" customHeight="false" outlineLevel="0" collapsed="false">
      <c r="A34" s="9" t="s">
        <v>38</v>
      </c>
      <c r="B34" s="8" t="n">
        <f aca="false">COUNTIF('Master Terms'!O2:O400,"Ready")</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10"/>
    <col collapsed="false" customWidth="true" hidden="false" outlineLevel="0" max="4" min="4" style="0" width="30"/>
    <col collapsed="false" customWidth="true" hidden="false" outlineLevel="0" max="5" min="5" style="0" width="18"/>
    <col collapsed="false" customWidth="true" hidden="false" outlineLevel="0" max="6" min="6" style="0" width="16"/>
    <col collapsed="false" customWidth="true" hidden="false" outlineLevel="0" max="7" min="7" style="0" width="12"/>
    <col collapsed="false" customWidth="true" hidden="false" outlineLevel="0" max="8" min="8" style="0" width="14"/>
    <col collapsed="false" customWidth="true" hidden="false" outlineLevel="0" max="9" min="9" style="0" width="12"/>
    <col collapsed="false" customWidth="true" hidden="false" outlineLevel="0" max="10" min="10" style="0" width="14"/>
    <col collapsed="false" customWidth="true" hidden="false" outlineLevel="0" max="11" min="11" style="0" width="13"/>
    <col collapsed="false" customWidth="true" hidden="false" outlineLevel="0" max="12" min="12" style="0" width="28"/>
    <col collapsed="false" customWidth="true" hidden="false" outlineLevel="0" max="13" min="13" style="0" width="12"/>
  </cols>
  <sheetData>
    <row r="1" customFormat="false" ht="30" hidden="false" customHeight="true" outlineLevel="0" collapsed="false">
      <c r="A1" s="10" t="s">
        <v>39</v>
      </c>
      <c r="B1" s="10" t="s">
        <v>40</v>
      </c>
      <c r="C1" s="10" t="s">
        <v>41</v>
      </c>
      <c r="D1" s="10" t="s">
        <v>42</v>
      </c>
      <c r="E1" s="10" t="s">
        <v>43</v>
      </c>
      <c r="F1" s="10" t="s">
        <v>44</v>
      </c>
      <c r="G1" s="10" t="s">
        <v>45</v>
      </c>
      <c r="H1" s="10" t="s">
        <v>46</v>
      </c>
      <c r="I1" s="10" t="s">
        <v>47</v>
      </c>
      <c r="J1" s="10" t="s">
        <v>48</v>
      </c>
      <c r="K1" s="10" t="s">
        <v>49</v>
      </c>
      <c r="L1" s="10" t="s">
        <v>50</v>
      </c>
      <c r="M1" s="10" t="s">
        <v>51</v>
      </c>
    </row>
    <row r="2" customFormat="false" ht="15" hidden="false" customHeight="false" outlineLevel="0" collapsed="false">
      <c r="A2" s="11" t="s">
        <v>52</v>
      </c>
      <c r="B2" s="11" t="s">
        <v>53</v>
      </c>
      <c r="C2" s="11" t="s">
        <v>54</v>
      </c>
      <c r="D2" s="11" t="s">
        <v>55</v>
      </c>
      <c r="E2" s="11" t="s">
        <v>56</v>
      </c>
      <c r="F2" s="11" t="s">
        <v>57</v>
      </c>
      <c r="G2" s="11" t="s">
        <v>58</v>
      </c>
      <c r="H2" s="11" t="s">
        <v>59</v>
      </c>
      <c r="I2" s="11" t="s">
        <v>60</v>
      </c>
      <c r="J2" s="11"/>
      <c r="K2" s="11"/>
      <c r="L2" s="11"/>
      <c r="M2" s="12" t="str">
        <f aca="false">IF(A2="","",IF(AND(I2="Approved",J2&lt;&gt;"",K2&lt;&gt;""),"Ready","Not yet"))</f>
        <v>Not yet</v>
      </c>
    </row>
    <row r="3" customFormat="false" ht="15" hidden="false" customHeight="false" outlineLevel="0" collapsed="false">
      <c r="A3" s="11" t="s">
        <v>61</v>
      </c>
      <c r="B3" s="11" t="s">
        <v>62</v>
      </c>
      <c r="C3" s="11" t="s">
        <v>54</v>
      </c>
      <c r="D3" s="11" t="s">
        <v>63</v>
      </c>
      <c r="E3" s="11" t="s">
        <v>64</v>
      </c>
      <c r="F3" s="11" t="s">
        <v>57</v>
      </c>
      <c r="G3" s="11" t="s">
        <v>58</v>
      </c>
      <c r="H3" s="11" t="s">
        <v>59</v>
      </c>
      <c r="I3" s="11" t="s">
        <v>60</v>
      </c>
      <c r="J3" s="11"/>
      <c r="K3" s="11"/>
      <c r="L3" s="11"/>
      <c r="M3" s="12" t="str">
        <f aca="false">IF(A3="","",IF(AND(I3="Approved",J3&lt;&gt;"",K3&lt;&gt;""),"Ready","Not yet"))</f>
        <v>Not yet</v>
      </c>
    </row>
    <row r="4" customFormat="false" ht="15" hidden="false" customHeight="false" outlineLevel="0" collapsed="false">
      <c r="A4" s="11" t="s">
        <v>65</v>
      </c>
      <c r="B4" s="11" t="s">
        <v>66</v>
      </c>
      <c r="C4" s="11" t="s">
        <v>54</v>
      </c>
      <c r="D4" s="11" t="s">
        <v>67</v>
      </c>
      <c r="E4" s="11" t="s">
        <v>68</v>
      </c>
      <c r="F4" s="11" t="s">
        <v>57</v>
      </c>
      <c r="G4" s="11" t="s">
        <v>58</v>
      </c>
      <c r="H4" s="11" t="s">
        <v>59</v>
      </c>
      <c r="I4" s="11" t="s">
        <v>60</v>
      </c>
      <c r="J4" s="11"/>
      <c r="K4" s="11"/>
      <c r="L4" s="11"/>
      <c r="M4" s="12" t="str">
        <f aca="false">IF(A4="","",IF(AND(I4="Approved",J4&lt;&gt;"",K4&lt;&gt;""),"Ready","Not yet"))</f>
        <v>Not yet</v>
      </c>
    </row>
    <row r="5" customFormat="false" ht="15" hidden="false" customHeight="false" outlineLevel="0" collapsed="false">
      <c r="A5" s="11" t="s">
        <v>69</v>
      </c>
      <c r="B5" s="11" t="s">
        <v>70</v>
      </c>
      <c r="C5" s="11" t="s">
        <v>54</v>
      </c>
      <c r="D5" s="11" t="s">
        <v>71</v>
      </c>
      <c r="E5" s="11" t="s">
        <v>72</v>
      </c>
      <c r="F5" s="11" t="s">
        <v>57</v>
      </c>
      <c r="G5" s="11" t="s">
        <v>58</v>
      </c>
      <c r="H5" s="11" t="s">
        <v>59</v>
      </c>
      <c r="I5" s="11" t="s">
        <v>60</v>
      </c>
      <c r="J5" s="11"/>
      <c r="K5" s="11"/>
      <c r="L5" s="11"/>
      <c r="M5" s="12" t="str">
        <f aca="false">IF(A5="","",IF(AND(I5="Approved",J5&lt;&gt;"",K5&lt;&gt;""),"Ready","Not yet"))</f>
        <v>Not yet</v>
      </c>
    </row>
    <row r="6" customFormat="false" ht="15" hidden="false" customHeight="false" outlineLevel="0" collapsed="false">
      <c r="A6" s="11" t="s">
        <v>73</v>
      </c>
      <c r="B6" s="11" t="s">
        <v>74</v>
      </c>
      <c r="C6" s="11" t="s">
        <v>54</v>
      </c>
      <c r="D6" s="11" t="s">
        <v>75</v>
      </c>
      <c r="E6" s="11" t="s">
        <v>76</v>
      </c>
      <c r="F6" s="11" t="s">
        <v>57</v>
      </c>
      <c r="G6" s="11" t="s">
        <v>58</v>
      </c>
      <c r="H6" s="11" t="s">
        <v>59</v>
      </c>
      <c r="I6" s="11" t="s">
        <v>60</v>
      </c>
      <c r="J6" s="11"/>
      <c r="K6" s="11"/>
      <c r="L6" s="11"/>
      <c r="M6" s="12" t="str">
        <f aca="false">IF(A6="","",IF(AND(I6="Approved",J6&lt;&gt;"",K6&lt;&gt;""),"Ready","Not yet"))</f>
        <v>Not yet</v>
      </c>
    </row>
    <row r="7" customFormat="false" ht="15" hidden="false" customHeight="false" outlineLevel="0" collapsed="false">
      <c r="A7" s="11" t="s">
        <v>77</v>
      </c>
      <c r="B7" s="11" t="s">
        <v>78</v>
      </c>
      <c r="C7" s="11" t="s">
        <v>54</v>
      </c>
      <c r="D7" s="11" t="s">
        <v>79</v>
      </c>
      <c r="E7" s="11" t="s">
        <v>80</v>
      </c>
      <c r="F7" s="11" t="s">
        <v>57</v>
      </c>
      <c r="G7" s="11" t="s">
        <v>58</v>
      </c>
      <c r="H7" s="11" t="s">
        <v>59</v>
      </c>
      <c r="I7" s="11" t="s">
        <v>60</v>
      </c>
      <c r="J7" s="11"/>
      <c r="K7" s="11"/>
      <c r="L7" s="11"/>
      <c r="M7" s="12" t="str">
        <f aca="false">IF(A7="","",IF(AND(I7="Approved",J7&lt;&gt;"",K7&lt;&gt;""),"Ready","Not yet"))</f>
        <v>Not yet</v>
      </c>
    </row>
    <row r="8" customFormat="false" ht="15" hidden="false" customHeight="false" outlineLevel="0" collapsed="false">
      <c r="A8" s="11" t="s">
        <v>81</v>
      </c>
      <c r="B8" s="11" t="s">
        <v>82</v>
      </c>
      <c r="C8" s="11" t="s">
        <v>54</v>
      </c>
      <c r="D8" s="11" t="s">
        <v>83</v>
      </c>
      <c r="E8" s="11" t="s">
        <v>84</v>
      </c>
      <c r="F8" s="11" t="s">
        <v>57</v>
      </c>
      <c r="G8" s="11" t="s">
        <v>58</v>
      </c>
      <c r="H8" s="11" t="s">
        <v>59</v>
      </c>
      <c r="I8" s="11" t="s">
        <v>60</v>
      </c>
      <c r="J8" s="11"/>
      <c r="K8" s="11"/>
      <c r="L8" s="11"/>
      <c r="M8" s="12" t="str">
        <f aca="false">IF(A8="","",IF(AND(I8="Approved",J8&lt;&gt;"",K8&lt;&gt;""),"Ready","Not yet"))</f>
        <v>Not yet</v>
      </c>
    </row>
    <row r="9" customFormat="false" ht="15" hidden="false" customHeight="false" outlineLevel="0" collapsed="false">
      <c r="A9" s="11" t="s">
        <v>85</v>
      </c>
      <c r="B9" s="11" t="s">
        <v>86</v>
      </c>
      <c r="C9" s="11" t="s">
        <v>54</v>
      </c>
      <c r="D9" s="11" t="s">
        <v>87</v>
      </c>
      <c r="E9" s="11" t="s">
        <v>88</v>
      </c>
      <c r="F9" s="11" t="s">
        <v>57</v>
      </c>
      <c r="G9" s="11" t="s">
        <v>58</v>
      </c>
      <c r="H9" s="11" t="s">
        <v>59</v>
      </c>
      <c r="I9" s="11" t="s">
        <v>60</v>
      </c>
      <c r="J9" s="11"/>
      <c r="K9" s="11"/>
      <c r="L9" s="11"/>
      <c r="M9" s="12" t="str">
        <f aca="false">IF(A9="","",IF(AND(I9="Approved",J9&lt;&gt;"",K9&lt;&gt;""),"Ready","Not yet"))</f>
        <v>Not yet</v>
      </c>
    </row>
    <row r="10" customFormat="false" ht="15" hidden="false" customHeight="false" outlineLevel="0" collapsed="false">
      <c r="A10" s="11" t="s">
        <v>89</v>
      </c>
      <c r="B10" s="11" t="s">
        <v>90</v>
      </c>
      <c r="C10" s="11" t="s">
        <v>54</v>
      </c>
      <c r="D10" s="11" t="s">
        <v>91</v>
      </c>
      <c r="E10" s="11" t="s">
        <v>89</v>
      </c>
      <c r="F10" s="11" t="s">
        <v>57</v>
      </c>
      <c r="G10" s="11" t="s">
        <v>58</v>
      </c>
      <c r="H10" s="11" t="s">
        <v>59</v>
      </c>
      <c r="I10" s="11" t="s">
        <v>60</v>
      </c>
      <c r="J10" s="11"/>
      <c r="K10" s="11"/>
      <c r="L10" s="11"/>
      <c r="M10" s="12" t="str">
        <f aca="false">IF(A10="","",IF(AND(I10="Approved",J10&lt;&gt;"",K10&lt;&gt;""),"Ready","Not yet"))</f>
        <v>Not yet</v>
      </c>
    </row>
    <row r="11" customFormat="false" ht="15" hidden="false" customHeight="false" outlineLevel="0" collapsed="false">
      <c r="A11" s="11" t="s">
        <v>92</v>
      </c>
      <c r="B11" s="11" t="s">
        <v>93</v>
      </c>
      <c r="C11" s="11" t="s">
        <v>54</v>
      </c>
      <c r="D11" s="11" t="s">
        <v>94</v>
      </c>
      <c r="E11" s="11" t="s">
        <v>95</v>
      </c>
      <c r="F11" s="11" t="s">
        <v>57</v>
      </c>
      <c r="G11" s="11" t="s">
        <v>58</v>
      </c>
      <c r="H11" s="11" t="s">
        <v>59</v>
      </c>
      <c r="I11" s="11" t="s">
        <v>60</v>
      </c>
      <c r="J11" s="11"/>
      <c r="K11" s="11"/>
      <c r="L11" s="11"/>
      <c r="M11" s="12" t="str">
        <f aca="false">IF(A11="","",IF(AND(I11="Approved",J11&lt;&gt;"",K11&lt;&gt;""),"Ready","Not yet"))</f>
        <v>Not yet</v>
      </c>
    </row>
    <row r="12" customFormat="false" ht="15" hidden="false" customHeight="false" outlineLevel="0" collapsed="false">
      <c r="A12" s="11" t="s">
        <v>96</v>
      </c>
      <c r="B12" s="11" t="s">
        <v>97</v>
      </c>
      <c r="C12" s="11" t="s">
        <v>54</v>
      </c>
      <c r="D12" s="11" t="s">
        <v>98</v>
      </c>
      <c r="E12" s="11" t="s">
        <v>99</v>
      </c>
      <c r="F12" s="11" t="s">
        <v>57</v>
      </c>
      <c r="G12" s="11" t="s">
        <v>58</v>
      </c>
      <c r="H12" s="11" t="s">
        <v>59</v>
      </c>
      <c r="I12" s="11" t="s">
        <v>60</v>
      </c>
      <c r="J12" s="11"/>
      <c r="K12" s="11"/>
      <c r="L12" s="11"/>
      <c r="M12" s="12" t="str">
        <f aca="false">IF(A12="","",IF(AND(I12="Approved",J12&lt;&gt;"",K12&lt;&gt;""),"Ready","Not yet"))</f>
        <v>Not yet</v>
      </c>
    </row>
    <row r="13" customFormat="false" ht="15" hidden="false" customHeight="false" outlineLevel="0" collapsed="false">
      <c r="A13" s="11" t="s">
        <v>100</v>
      </c>
      <c r="B13" s="11" t="s">
        <v>101</v>
      </c>
      <c r="C13" s="11" t="s">
        <v>54</v>
      </c>
      <c r="D13" s="11" t="s">
        <v>102</v>
      </c>
      <c r="E13" s="11" t="s">
        <v>103</v>
      </c>
      <c r="F13" s="11" t="s">
        <v>57</v>
      </c>
      <c r="G13" s="11" t="s">
        <v>58</v>
      </c>
      <c r="H13" s="11" t="s">
        <v>59</v>
      </c>
      <c r="I13" s="11" t="s">
        <v>60</v>
      </c>
      <c r="J13" s="11"/>
      <c r="K13" s="11"/>
      <c r="L13" s="11"/>
      <c r="M13" s="12" t="str">
        <f aca="false">IF(A13="","",IF(AND(I13="Approved",J13&lt;&gt;"",K13&lt;&gt;""),"Ready","Not yet"))</f>
        <v>Not yet</v>
      </c>
    </row>
    <row r="14" customFormat="false" ht="15" hidden="false" customHeight="false" outlineLevel="0" collapsed="false">
      <c r="A14" s="11" t="s">
        <v>104</v>
      </c>
      <c r="B14" s="11" t="s">
        <v>105</v>
      </c>
      <c r="C14" s="11" t="s">
        <v>106</v>
      </c>
      <c r="D14" s="11" t="s">
        <v>107</v>
      </c>
      <c r="E14" s="11" t="s">
        <v>108</v>
      </c>
      <c r="F14" s="11" t="s">
        <v>109</v>
      </c>
      <c r="G14" s="11" t="s">
        <v>58</v>
      </c>
      <c r="H14" s="11" t="s">
        <v>59</v>
      </c>
      <c r="I14" s="11" t="s">
        <v>60</v>
      </c>
      <c r="J14" s="11"/>
      <c r="K14" s="11"/>
      <c r="L14" s="11"/>
      <c r="M14" s="12" t="str">
        <f aca="false">IF(A14="","",IF(AND(I14="Approved",J14&lt;&gt;"",K14&lt;&gt;""),"Ready","Not yet"))</f>
        <v>Not yet</v>
      </c>
    </row>
    <row r="15" customFormat="false" ht="15" hidden="false" customHeight="false" outlineLevel="0" collapsed="false">
      <c r="A15" s="11" t="s">
        <v>110</v>
      </c>
      <c r="B15" s="11" t="s">
        <v>111</v>
      </c>
      <c r="C15" s="11" t="s">
        <v>106</v>
      </c>
      <c r="D15" s="11" t="s">
        <v>112</v>
      </c>
      <c r="E15" s="11" t="s">
        <v>113</v>
      </c>
      <c r="F15" s="11" t="s">
        <v>114</v>
      </c>
      <c r="G15" s="11" t="s">
        <v>58</v>
      </c>
      <c r="H15" s="11" t="s">
        <v>59</v>
      </c>
      <c r="I15" s="11" t="s">
        <v>60</v>
      </c>
      <c r="J15" s="11"/>
      <c r="K15" s="11"/>
      <c r="L15" s="11"/>
      <c r="M15" s="12" t="str">
        <f aca="false">IF(A15="","",IF(AND(I15="Approved",J15&lt;&gt;"",K15&lt;&gt;""),"Ready","Not yet"))</f>
        <v>Not yet</v>
      </c>
    </row>
    <row r="16" customFormat="false" ht="15" hidden="false" customHeight="false" outlineLevel="0" collapsed="false">
      <c r="A16" s="11" t="s">
        <v>115</v>
      </c>
      <c r="B16" s="11" t="s">
        <v>116</v>
      </c>
      <c r="C16" s="11" t="s">
        <v>106</v>
      </c>
      <c r="D16" s="11" t="s">
        <v>117</v>
      </c>
      <c r="E16" s="11" t="s">
        <v>118</v>
      </c>
      <c r="F16" s="11" t="s">
        <v>119</v>
      </c>
      <c r="G16" s="11" t="s">
        <v>58</v>
      </c>
      <c r="H16" s="11" t="s">
        <v>59</v>
      </c>
      <c r="I16" s="11" t="s">
        <v>60</v>
      </c>
      <c r="J16" s="11"/>
      <c r="K16" s="11"/>
      <c r="L16" s="11"/>
      <c r="M16" s="12" t="str">
        <f aca="false">IF(A16="","",IF(AND(I16="Approved",J16&lt;&gt;"",K16&lt;&gt;""),"Ready","Not yet"))</f>
        <v>Not yet</v>
      </c>
    </row>
    <row r="17" customFormat="false" ht="15" hidden="false" customHeight="false" outlineLevel="0" collapsed="false">
      <c r="A17" s="11" t="s">
        <v>120</v>
      </c>
      <c r="B17" s="11" t="s">
        <v>121</v>
      </c>
      <c r="C17" s="11" t="s">
        <v>106</v>
      </c>
      <c r="D17" s="11" t="s">
        <v>122</v>
      </c>
      <c r="E17" s="11" t="s">
        <v>123</v>
      </c>
      <c r="F17" s="11" t="s">
        <v>124</v>
      </c>
      <c r="G17" s="11" t="s">
        <v>58</v>
      </c>
      <c r="H17" s="11" t="s">
        <v>59</v>
      </c>
      <c r="I17" s="11" t="s">
        <v>60</v>
      </c>
      <c r="J17" s="11"/>
      <c r="K17" s="11"/>
      <c r="L17" s="11"/>
      <c r="M17" s="12" t="str">
        <f aca="false">IF(A17="","",IF(AND(I17="Approved",J17&lt;&gt;"",K17&lt;&gt;""),"Ready","Not yet"))</f>
        <v>Not yet</v>
      </c>
    </row>
    <row r="18" customFormat="false" ht="15" hidden="false" customHeight="false" outlineLevel="0" collapsed="false">
      <c r="A18" s="11" t="s">
        <v>125</v>
      </c>
      <c r="B18" s="11" t="s">
        <v>126</v>
      </c>
      <c r="C18" s="11" t="s">
        <v>106</v>
      </c>
      <c r="D18" s="11" t="s">
        <v>127</v>
      </c>
      <c r="E18" s="11" t="s">
        <v>128</v>
      </c>
      <c r="F18" s="11" t="s">
        <v>114</v>
      </c>
      <c r="G18" s="11" t="s">
        <v>58</v>
      </c>
      <c r="H18" s="11" t="s">
        <v>59</v>
      </c>
      <c r="I18" s="11" t="s">
        <v>60</v>
      </c>
      <c r="J18" s="11"/>
      <c r="K18" s="11"/>
      <c r="L18" s="11"/>
      <c r="M18" s="12" t="str">
        <f aca="false">IF(A18="","",IF(AND(I18="Approved",J18&lt;&gt;"",K18&lt;&gt;""),"Ready","Not yet"))</f>
        <v>Not yet</v>
      </c>
    </row>
    <row r="19" customFormat="false" ht="15" hidden="false" customHeight="false" outlineLevel="0" collapsed="false">
      <c r="A19" s="11" t="s">
        <v>129</v>
      </c>
      <c r="B19" s="11" t="s">
        <v>130</v>
      </c>
      <c r="C19" s="11" t="s">
        <v>106</v>
      </c>
      <c r="D19" s="11" t="s">
        <v>131</v>
      </c>
      <c r="E19" s="11" t="s">
        <v>132</v>
      </c>
      <c r="F19" s="11" t="s">
        <v>114</v>
      </c>
      <c r="G19" s="11" t="s">
        <v>58</v>
      </c>
      <c r="H19" s="11" t="s">
        <v>59</v>
      </c>
      <c r="I19" s="11" t="s">
        <v>60</v>
      </c>
      <c r="J19" s="11"/>
      <c r="K19" s="11"/>
      <c r="L19" s="11"/>
      <c r="M19" s="12" t="str">
        <f aca="false">IF(A19="","",IF(AND(I19="Approved",J19&lt;&gt;"",K19&lt;&gt;""),"Ready","Not yet"))</f>
        <v>Not yet</v>
      </c>
    </row>
    <row r="20" customFormat="false" ht="15" hidden="false" customHeight="false" outlineLevel="0" collapsed="false">
      <c r="A20" s="11" t="s">
        <v>133</v>
      </c>
      <c r="B20" s="11" t="s">
        <v>134</v>
      </c>
      <c r="C20" s="11" t="s">
        <v>106</v>
      </c>
      <c r="D20" s="11" t="s">
        <v>135</v>
      </c>
      <c r="E20" s="11" t="s">
        <v>136</v>
      </c>
      <c r="F20" s="11" t="s">
        <v>114</v>
      </c>
      <c r="G20" s="11" t="s">
        <v>58</v>
      </c>
      <c r="H20" s="11" t="s">
        <v>59</v>
      </c>
      <c r="I20" s="11" t="s">
        <v>60</v>
      </c>
      <c r="J20" s="11"/>
      <c r="K20" s="11"/>
      <c r="L20" s="11"/>
      <c r="M20" s="12" t="str">
        <f aca="false">IF(A20="","",IF(AND(I20="Approved",J20&lt;&gt;"",K20&lt;&gt;""),"Ready","Not yet"))</f>
        <v>Not yet</v>
      </c>
    </row>
    <row r="21" customFormat="false" ht="15" hidden="false" customHeight="false" outlineLevel="0" collapsed="false">
      <c r="A21" s="11" t="s">
        <v>137</v>
      </c>
      <c r="B21" s="11" t="s">
        <v>138</v>
      </c>
      <c r="C21" s="11" t="s">
        <v>106</v>
      </c>
      <c r="D21" s="11" t="s">
        <v>139</v>
      </c>
      <c r="E21" s="11" t="s">
        <v>140</v>
      </c>
      <c r="F21" s="11" t="s">
        <v>114</v>
      </c>
      <c r="G21" s="11" t="s">
        <v>58</v>
      </c>
      <c r="H21" s="11" t="s">
        <v>59</v>
      </c>
      <c r="I21" s="11" t="s">
        <v>60</v>
      </c>
      <c r="J21" s="11"/>
      <c r="K21" s="11"/>
      <c r="L21" s="11"/>
      <c r="M21" s="12" t="str">
        <f aca="false">IF(A21="","",IF(AND(I21="Approved",J21&lt;&gt;"",K21&lt;&gt;""),"Ready","Not yet"))</f>
        <v>Not yet</v>
      </c>
    </row>
    <row r="22" customFormat="false" ht="15" hidden="false" customHeight="false" outlineLevel="0" collapsed="false">
      <c r="A22" s="11" t="s">
        <v>141</v>
      </c>
      <c r="B22" s="11" t="s">
        <v>142</v>
      </c>
      <c r="C22" s="11" t="s">
        <v>106</v>
      </c>
      <c r="D22" s="11" t="s">
        <v>143</v>
      </c>
      <c r="E22" s="11" t="s">
        <v>144</v>
      </c>
      <c r="F22" s="11" t="s">
        <v>114</v>
      </c>
      <c r="G22" s="11" t="s">
        <v>58</v>
      </c>
      <c r="H22" s="11" t="s">
        <v>59</v>
      </c>
      <c r="I22" s="11" t="s">
        <v>60</v>
      </c>
      <c r="J22" s="11"/>
      <c r="K22" s="11"/>
      <c r="L22" s="11"/>
      <c r="M22" s="12" t="str">
        <f aca="false">IF(A22="","",IF(AND(I22="Approved",J22&lt;&gt;"",K22&lt;&gt;""),"Ready","Not yet"))</f>
        <v>Not yet</v>
      </c>
    </row>
    <row r="23" customFormat="false" ht="15" hidden="false" customHeight="false" outlineLevel="0" collapsed="false">
      <c r="A23" s="11" t="s">
        <v>145</v>
      </c>
      <c r="B23" s="11" t="s">
        <v>146</v>
      </c>
      <c r="C23" s="11" t="s">
        <v>106</v>
      </c>
      <c r="D23" s="11" t="s">
        <v>147</v>
      </c>
      <c r="E23" s="11" t="s">
        <v>148</v>
      </c>
      <c r="F23" s="11" t="s">
        <v>114</v>
      </c>
      <c r="G23" s="11" t="s">
        <v>58</v>
      </c>
      <c r="H23" s="11" t="s">
        <v>59</v>
      </c>
      <c r="I23" s="11" t="s">
        <v>60</v>
      </c>
      <c r="J23" s="11"/>
      <c r="K23" s="11"/>
      <c r="L23" s="11"/>
      <c r="M23" s="12" t="str">
        <f aca="false">IF(A23="","",IF(AND(I23="Approved",J23&lt;&gt;"",K23&lt;&gt;""),"Ready","Not yet"))</f>
        <v>Not yet</v>
      </c>
    </row>
    <row r="24" customFormat="false" ht="15" hidden="false" customHeight="false" outlineLevel="0" collapsed="false">
      <c r="A24" s="11" t="s">
        <v>149</v>
      </c>
      <c r="B24" s="11" t="s">
        <v>150</v>
      </c>
      <c r="C24" s="11" t="s">
        <v>106</v>
      </c>
      <c r="D24" s="11" t="s">
        <v>151</v>
      </c>
      <c r="E24" s="11" t="s">
        <v>152</v>
      </c>
      <c r="F24" s="11" t="s">
        <v>153</v>
      </c>
      <c r="G24" s="11" t="s">
        <v>58</v>
      </c>
      <c r="H24" s="11" t="s">
        <v>59</v>
      </c>
      <c r="I24" s="11" t="s">
        <v>60</v>
      </c>
      <c r="J24" s="11"/>
      <c r="K24" s="11"/>
      <c r="L24" s="11"/>
      <c r="M24" s="12" t="str">
        <f aca="false">IF(A24="","",IF(AND(I24="Approved",J24&lt;&gt;"",K24&lt;&gt;""),"Ready","Not yet"))</f>
        <v>Not yet</v>
      </c>
    </row>
    <row r="25" customFormat="false" ht="15" hidden="false" customHeight="false" outlineLevel="0" collapsed="false">
      <c r="A25" s="11" t="s">
        <v>154</v>
      </c>
      <c r="B25" s="11" t="s">
        <v>155</v>
      </c>
      <c r="C25" s="11" t="s">
        <v>106</v>
      </c>
      <c r="D25" s="11" t="s">
        <v>156</v>
      </c>
      <c r="E25" s="11" t="s">
        <v>157</v>
      </c>
      <c r="F25" s="11" t="s">
        <v>153</v>
      </c>
      <c r="G25" s="11" t="s">
        <v>58</v>
      </c>
      <c r="H25" s="11" t="s">
        <v>59</v>
      </c>
      <c r="I25" s="11" t="s">
        <v>60</v>
      </c>
      <c r="J25" s="11"/>
      <c r="K25" s="11"/>
      <c r="L25" s="11"/>
      <c r="M25" s="12" t="str">
        <f aca="false">IF(A25="","",IF(AND(I25="Approved",J25&lt;&gt;"",K25&lt;&gt;""),"Ready","Not yet"))</f>
        <v>Not yet</v>
      </c>
    </row>
    <row r="26" customFormat="false" ht="15" hidden="false" customHeight="false" outlineLevel="0" collapsed="false">
      <c r="A26" s="11" t="s">
        <v>158</v>
      </c>
      <c r="B26" s="11" t="s">
        <v>159</v>
      </c>
      <c r="C26" s="11" t="s">
        <v>106</v>
      </c>
      <c r="D26" s="11" t="s">
        <v>160</v>
      </c>
      <c r="E26" s="11" t="s">
        <v>161</v>
      </c>
      <c r="F26" s="11" t="s">
        <v>153</v>
      </c>
      <c r="G26" s="11" t="s">
        <v>58</v>
      </c>
      <c r="H26" s="11" t="s">
        <v>59</v>
      </c>
      <c r="I26" s="11" t="s">
        <v>60</v>
      </c>
      <c r="J26" s="11"/>
      <c r="K26" s="11"/>
      <c r="L26" s="11"/>
      <c r="M26" s="12" t="str">
        <f aca="false">IF(A26="","",IF(AND(I26="Approved",J26&lt;&gt;"",K26&lt;&gt;""),"Ready","Not yet"))</f>
        <v>Not yet</v>
      </c>
    </row>
    <row r="27" customFormat="false" ht="15" hidden="false" customHeight="false" outlineLevel="0" collapsed="false">
      <c r="A27" s="11" t="s">
        <v>162</v>
      </c>
      <c r="B27" s="11" t="s">
        <v>163</v>
      </c>
      <c r="C27" s="11" t="s">
        <v>106</v>
      </c>
      <c r="D27" s="11" t="s">
        <v>164</v>
      </c>
      <c r="E27" s="11" t="s">
        <v>165</v>
      </c>
      <c r="F27" s="11" t="s">
        <v>124</v>
      </c>
      <c r="G27" s="11" t="s">
        <v>58</v>
      </c>
      <c r="H27" s="11" t="s">
        <v>59</v>
      </c>
      <c r="I27" s="11" t="s">
        <v>60</v>
      </c>
      <c r="J27" s="11"/>
      <c r="K27" s="11"/>
      <c r="L27" s="11"/>
      <c r="M27" s="12" t="str">
        <f aca="false">IF(A27="","",IF(AND(I27="Approved",J27&lt;&gt;"",K27&lt;&gt;""),"Ready","Not yet"))</f>
        <v>Not yet</v>
      </c>
    </row>
    <row r="28" customFormat="false" ht="15" hidden="false" customHeight="false" outlineLevel="0" collapsed="false">
      <c r="A28" s="11" t="s">
        <v>166</v>
      </c>
      <c r="B28" s="11" t="s">
        <v>167</v>
      </c>
      <c r="C28" s="11" t="s">
        <v>106</v>
      </c>
      <c r="D28" s="11" t="s">
        <v>168</v>
      </c>
      <c r="E28" s="11" t="s">
        <v>169</v>
      </c>
      <c r="F28" s="11" t="s">
        <v>170</v>
      </c>
      <c r="G28" s="11" t="s">
        <v>58</v>
      </c>
      <c r="H28" s="11" t="s">
        <v>59</v>
      </c>
      <c r="I28" s="11" t="s">
        <v>60</v>
      </c>
      <c r="J28" s="11"/>
      <c r="K28" s="11"/>
      <c r="L28" s="11"/>
      <c r="M28" s="12" t="str">
        <f aca="false">IF(A28="","",IF(AND(I28="Approved",J28&lt;&gt;"",K28&lt;&gt;""),"Ready","Not yet"))</f>
        <v>Not yet</v>
      </c>
    </row>
    <row r="29" customFormat="false" ht="15" hidden="false" customHeight="false" outlineLevel="0" collapsed="false">
      <c r="A29" s="11" t="s">
        <v>171</v>
      </c>
      <c r="B29" s="11" t="s">
        <v>172</v>
      </c>
      <c r="C29" s="11" t="s">
        <v>106</v>
      </c>
      <c r="D29" s="11" t="s">
        <v>173</v>
      </c>
      <c r="E29" s="11" t="s">
        <v>174</v>
      </c>
      <c r="F29" s="11" t="s">
        <v>124</v>
      </c>
      <c r="G29" s="11" t="s">
        <v>58</v>
      </c>
      <c r="H29" s="11" t="s">
        <v>59</v>
      </c>
      <c r="I29" s="11" t="s">
        <v>60</v>
      </c>
      <c r="J29" s="11"/>
      <c r="K29" s="11"/>
      <c r="L29" s="11"/>
      <c r="M29" s="12" t="str">
        <f aca="false">IF(A29="","",IF(AND(I29="Approved",J29&lt;&gt;"",K29&lt;&gt;""),"Ready","Not yet"))</f>
        <v>Not yet</v>
      </c>
    </row>
    <row r="30" customFormat="false" ht="15" hidden="false" customHeight="false" outlineLevel="0" collapsed="false">
      <c r="A30" s="11" t="s">
        <v>175</v>
      </c>
      <c r="B30" s="11" t="s">
        <v>176</v>
      </c>
      <c r="C30" s="11" t="s">
        <v>106</v>
      </c>
      <c r="D30" s="11" t="s">
        <v>177</v>
      </c>
      <c r="E30" s="11" t="s">
        <v>178</v>
      </c>
      <c r="F30" s="11" t="s">
        <v>124</v>
      </c>
      <c r="G30" s="11" t="s">
        <v>58</v>
      </c>
      <c r="H30" s="11" t="s">
        <v>59</v>
      </c>
      <c r="I30" s="11" t="s">
        <v>60</v>
      </c>
      <c r="J30" s="11"/>
      <c r="K30" s="11"/>
      <c r="L30" s="11"/>
      <c r="M30" s="12" t="str">
        <f aca="false">IF(A30="","",IF(AND(I30="Approved",J30&lt;&gt;"",K30&lt;&gt;""),"Ready","Not yet"))</f>
        <v>Not yet</v>
      </c>
    </row>
    <row r="31" customFormat="false" ht="15" hidden="false" customHeight="false" outlineLevel="0" collapsed="false">
      <c r="A31" s="11" t="s">
        <v>179</v>
      </c>
      <c r="B31" s="11" t="s">
        <v>180</v>
      </c>
      <c r="C31" s="11" t="s">
        <v>106</v>
      </c>
      <c r="D31" s="11" t="s">
        <v>181</v>
      </c>
      <c r="E31" s="11" t="s">
        <v>182</v>
      </c>
      <c r="F31" s="11" t="s">
        <v>183</v>
      </c>
      <c r="G31" s="11" t="s">
        <v>58</v>
      </c>
      <c r="H31" s="11" t="s">
        <v>59</v>
      </c>
      <c r="I31" s="11" t="s">
        <v>60</v>
      </c>
      <c r="J31" s="11"/>
      <c r="K31" s="11"/>
      <c r="L31" s="11"/>
      <c r="M31" s="12" t="str">
        <f aca="false">IF(A31="","",IF(AND(I31="Approved",J31&lt;&gt;"",K31&lt;&gt;""),"Ready","Not yet"))</f>
        <v>Not yet</v>
      </c>
    </row>
    <row r="32" customFormat="false" ht="15" hidden="false" customHeight="false" outlineLevel="0" collapsed="false">
      <c r="A32" s="11" t="s">
        <v>184</v>
      </c>
      <c r="B32" s="11" t="s">
        <v>185</v>
      </c>
      <c r="C32" s="11" t="s">
        <v>106</v>
      </c>
      <c r="D32" s="11" t="s">
        <v>186</v>
      </c>
      <c r="E32" s="11" t="s">
        <v>187</v>
      </c>
      <c r="F32" s="11" t="s">
        <v>183</v>
      </c>
      <c r="G32" s="11" t="s">
        <v>58</v>
      </c>
      <c r="H32" s="11" t="s">
        <v>59</v>
      </c>
      <c r="I32" s="11" t="s">
        <v>60</v>
      </c>
      <c r="J32" s="11"/>
      <c r="K32" s="11"/>
      <c r="L32" s="11"/>
      <c r="M32" s="12" t="str">
        <f aca="false">IF(A32="","",IF(AND(I32="Approved",J32&lt;&gt;"",K32&lt;&gt;""),"Ready","Not yet"))</f>
        <v>Not yet</v>
      </c>
    </row>
    <row r="33" customFormat="false" ht="15" hidden="false" customHeight="false" outlineLevel="0" collapsed="false">
      <c r="A33" s="11" t="s">
        <v>188</v>
      </c>
      <c r="B33" s="11" t="s">
        <v>189</v>
      </c>
      <c r="C33" s="11" t="s">
        <v>106</v>
      </c>
      <c r="D33" s="11" t="s">
        <v>190</v>
      </c>
      <c r="E33" s="11" t="s">
        <v>191</v>
      </c>
      <c r="F33" s="11" t="s">
        <v>192</v>
      </c>
      <c r="G33" s="11" t="s">
        <v>58</v>
      </c>
      <c r="H33" s="11" t="s">
        <v>59</v>
      </c>
      <c r="I33" s="11" t="s">
        <v>60</v>
      </c>
      <c r="J33" s="11"/>
      <c r="K33" s="11"/>
      <c r="L33" s="11"/>
      <c r="M33" s="12" t="str">
        <f aca="false">IF(A33="","",IF(AND(I33="Approved",J33&lt;&gt;"",K33&lt;&gt;""),"Ready","Not yet"))</f>
        <v>Not yet</v>
      </c>
    </row>
    <row r="34" customFormat="false" ht="15" hidden="false" customHeight="false" outlineLevel="0" collapsed="false">
      <c r="A34" s="11" t="s">
        <v>193</v>
      </c>
      <c r="B34" s="11" t="s">
        <v>194</v>
      </c>
      <c r="C34" s="11" t="s">
        <v>106</v>
      </c>
      <c r="D34" s="11" t="s">
        <v>195</v>
      </c>
      <c r="E34" s="11" t="s">
        <v>196</v>
      </c>
      <c r="F34" s="11" t="s">
        <v>192</v>
      </c>
      <c r="G34" s="11" t="s">
        <v>58</v>
      </c>
      <c r="H34" s="11" t="s">
        <v>59</v>
      </c>
      <c r="I34" s="11" t="s">
        <v>60</v>
      </c>
      <c r="J34" s="11"/>
      <c r="K34" s="11"/>
      <c r="L34" s="11"/>
      <c r="M34" s="12" t="str">
        <f aca="false">IF(A34="","",IF(AND(I34="Approved",J34&lt;&gt;"",K34&lt;&gt;""),"Ready","Not yet"))</f>
        <v>Not yet</v>
      </c>
    </row>
    <row r="35" customFormat="false" ht="15" hidden="false" customHeight="false" outlineLevel="0" collapsed="false">
      <c r="A35" s="11" t="s">
        <v>197</v>
      </c>
      <c r="B35" s="11" t="s">
        <v>198</v>
      </c>
      <c r="C35" s="11" t="s">
        <v>106</v>
      </c>
      <c r="D35" s="11" t="s">
        <v>199</v>
      </c>
      <c r="E35" s="11" t="s">
        <v>200</v>
      </c>
      <c r="F35" s="11" t="s">
        <v>192</v>
      </c>
      <c r="G35" s="11" t="s">
        <v>58</v>
      </c>
      <c r="H35" s="11" t="s">
        <v>59</v>
      </c>
      <c r="I35" s="11" t="s">
        <v>60</v>
      </c>
      <c r="J35" s="11"/>
      <c r="K35" s="11"/>
      <c r="L35" s="11"/>
      <c r="M35" s="12" t="str">
        <f aca="false">IF(A35="","",IF(AND(I35="Approved",J35&lt;&gt;"",K35&lt;&gt;""),"Ready","Not yet"))</f>
        <v>Not yet</v>
      </c>
    </row>
    <row r="36" customFormat="false" ht="15" hidden="false" customHeight="false" outlineLevel="0" collapsed="false">
      <c r="A36" s="11" t="s">
        <v>201</v>
      </c>
      <c r="B36" s="11" t="s">
        <v>202</v>
      </c>
      <c r="C36" s="11" t="s">
        <v>106</v>
      </c>
      <c r="D36" s="11" t="s">
        <v>203</v>
      </c>
      <c r="E36" s="11" t="s">
        <v>204</v>
      </c>
      <c r="F36" s="11" t="s">
        <v>192</v>
      </c>
      <c r="G36" s="11" t="s">
        <v>58</v>
      </c>
      <c r="H36" s="11" t="s">
        <v>59</v>
      </c>
      <c r="I36" s="11" t="s">
        <v>60</v>
      </c>
      <c r="J36" s="11"/>
      <c r="K36" s="11"/>
      <c r="L36" s="11"/>
      <c r="M36" s="12" t="str">
        <f aca="false">IF(A36="","",IF(AND(I36="Approved",J36&lt;&gt;"",K36&lt;&gt;""),"Ready","Not yet"))</f>
        <v>Not yet</v>
      </c>
    </row>
    <row r="37" customFormat="false" ht="15" hidden="false" customHeight="false" outlineLevel="0" collapsed="false">
      <c r="A37" s="11" t="s">
        <v>205</v>
      </c>
      <c r="B37" s="11" t="s">
        <v>206</v>
      </c>
      <c r="C37" s="11" t="s">
        <v>106</v>
      </c>
      <c r="D37" s="11" t="s">
        <v>207</v>
      </c>
      <c r="E37" s="11" t="s">
        <v>208</v>
      </c>
      <c r="F37" s="11" t="s">
        <v>192</v>
      </c>
      <c r="G37" s="11" t="s">
        <v>58</v>
      </c>
      <c r="H37" s="11" t="s">
        <v>59</v>
      </c>
      <c r="I37" s="11" t="s">
        <v>60</v>
      </c>
      <c r="J37" s="11"/>
      <c r="K37" s="11"/>
      <c r="L37" s="11"/>
      <c r="M37" s="12" t="str">
        <f aca="false">IF(A37="","",IF(AND(I37="Approved",J37&lt;&gt;"",K37&lt;&gt;""),"Ready","Not yet"))</f>
        <v>Not yet</v>
      </c>
    </row>
    <row r="38" customFormat="false" ht="15" hidden="false" customHeight="false" outlineLevel="0" collapsed="false">
      <c r="A38" s="11" t="s">
        <v>209</v>
      </c>
      <c r="B38" s="11" t="s">
        <v>210</v>
      </c>
      <c r="C38" s="11" t="s">
        <v>106</v>
      </c>
      <c r="D38" s="11" t="s">
        <v>211</v>
      </c>
      <c r="E38" s="11" t="s">
        <v>212</v>
      </c>
      <c r="F38" s="11" t="s">
        <v>119</v>
      </c>
      <c r="G38" s="11" t="s">
        <v>58</v>
      </c>
      <c r="H38" s="11" t="s">
        <v>59</v>
      </c>
      <c r="I38" s="11" t="s">
        <v>60</v>
      </c>
      <c r="J38" s="11"/>
      <c r="K38" s="11"/>
      <c r="L38" s="11"/>
      <c r="M38" s="12" t="str">
        <f aca="false">IF(A38="","",IF(AND(I38="Approved",J38&lt;&gt;"",K38&lt;&gt;""),"Ready","Not yet"))</f>
        <v>Not yet</v>
      </c>
    </row>
    <row r="39" customFormat="false" ht="15" hidden="false" customHeight="false" outlineLevel="0" collapsed="false">
      <c r="A39" s="11" t="s">
        <v>213</v>
      </c>
      <c r="B39" s="11" t="s">
        <v>214</v>
      </c>
      <c r="C39" s="11" t="s">
        <v>106</v>
      </c>
      <c r="D39" s="11" t="s">
        <v>215</v>
      </c>
      <c r="E39" s="11" t="s">
        <v>216</v>
      </c>
      <c r="F39" s="11" t="s">
        <v>217</v>
      </c>
      <c r="G39" s="11" t="s">
        <v>58</v>
      </c>
      <c r="H39" s="11" t="s">
        <v>59</v>
      </c>
      <c r="I39" s="11" t="s">
        <v>60</v>
      </c>
      <c r="J39" s="11"/>
      <c r="K39" s="11"/>
      <c r="L39" s="11"/>
      <c r="M39" s="12" t="str">
        <f aca="false">IF(A39="","",IF(AND(I39="Approved",J39&lt;&gt;"",K39&lt;&gt;""),"Ready","Not yet"))</f>
        <v>Not yet</v>
      </c>
    </row>
    <row r="40" customFormat="false" ht="15" hidden="false" customHeight="false" outlineLevel="0" collapsed="false">
      <c r="A40" s="11" t="s">
        <v>218</v>
      </c>
      <c r="B40" s="11" t="s">
        <v>219</v>
      </c>
      <c r="C40" s="11" t="s">
        <v>106</v>
      </c>
      <c r="D40" s="11" t="s">
        <v>220</v>
      </c>
      <c r="E40" s="11" t="s">
        <v>221</v>
      </c>
      <c r="F40" s="11" t="s">
        <v>109</v>
      </c>
      <c r="G40" s="11" t="s">
        <v>58</v>
      </c>
      <c r="H40" s="11" t="s">
        <v>59</v>
      </c>
      <c r="I40" s="11" t="s">
        <v>60</v>
      </c>
      <c r="J40" s="11"/>
      <c r="K40" s="11"/>
      <c r="L40" s="11"/>
      <c r="M40" s="12" t="str">
        <f aca="false">IF(A40="","",IF(AND(I40="Approved",J40&lt;&gt;"",K40&lt;&gt;""),"Ready","Not yet"))</f>
        <v>Not yet</v>
      </c>
    </row>
    <row r="41" customFormat="false" ht="15" hidden="false" customHeight="false" outlineLevel="0" collapsed="false">
      <c r="A41" s="11" t="s">
        <v>222</v>
      </c>
      <c r="B41" s="11" t="s">
        <v>223</v>
      </c>
      <c r="C41" s="11" t="s">
        <v>106</v>
      </c>
      <c r="D41" s="11" t="s">
        <v>224</v>
      </c>
      <c r="E41" s="11" t="s">
        <v>225</v>
      </c>
      <c r="F41" s="11" t="s">
        <v>109</v>
      </c>
      <c r="G41" s="11" t="s">
        <v>58</v>
      </c>
      <c r="H41" s="11" t="s">
        <v>59</v>
      </c>
      <c r="I41" s="11" t="s">
        <v>60</v>
      </c>
      <c r="J41" s="11"/>
      <c r="K41" s="11"/>
      <c r="L41" s="11"/>
      <c r="M41" s="12" t="str">
        <f aca="false">IF(A41="","",IF(AND(I41="Approved",J41&lt;&gt;"",K41&lt;&gt;""),"Ready","Not yet"))</f>
        <v>Not yet</v>
      </c>
    </row>
    <row r="42" customFormat="false" ht="15" hidden="false" customHeight="false" outlineLevel="0" collapsed="false">
      <c r="A42" s="11" t="s">
        <v>226</v>
      </c>
      <c r="B42" s="11" t="s">
        <v>227</v>
      </c>
      <c r="C42" s="11" t="s">
        <v>106</v>
      </c>
      <c r="D42" s="11" t="s">
        <v>228</v>
      </c>
      <c r="E42" s="11" t="s">
        <v>229</v>
      </c>
      <c r="F42" s="11" t="s">
        <v>217</v>
      </c>
      <c r="G42" s="11" t="s">
        <v>58</v>
      </c>
      <c r="H42" s="11" t="s">
        <v>59</v>
      </c>
      <c r="I42" s="11" t="s">
        <v>60</v>
      </c>
      <c r="J42" s="11"/>
      <c r="K42" s="11"/>
      <c r="L42" s="11"/>
      <c r="M42" s="12" t="str">
        <f aca="false">IF(A42="","",IF(AND(I42="Approved",J42&lt;&gt;"",K42&lt;&gt;""),"Ready","Not yet"))</f>
        <v>Not yet</v>
      </c>
    </row>
    <row r="43" customFormat="false" ht="15" hidden="false" customHeight="false" outlineLevel="0" collapsed="false">
      <c r="A43" s="11" t="s">
        <v>230</v>
      </c>
      <c r="B43" s="11" t="s">
        <v>231</v>
      </c>
      <c r="C43" s="11" t="s">
        <v>106</v>
      </c>
      <c r="D43" s="11" t="s">
        <v>232</v>
      </c>
      <c r="E43" s="11" t="s">
        <v>233</v>
      </c>
      <c r="F43" s="11" t="s">
        <v>234</v>
      </c>
      <c r="G43" s="11" t="s">
        <v>58</v>
      </c>
      <c r="H43" s="11" t="s">
        <v>59</v>
      </c>
      <c r="I43" s="11" t="s">
        <v>60</v>
      </c>
      <c r="J43" s="11"/>
      <c r="K43" s="11"/>
      <c r="L43" s="11"/>
      <c r="M43" s="12" t="str">
        <f aca="false">IF(A43="","",IF(AND(I43="Approved",J43&lt;&gt;"",K43&lt;&gt;""),"Ready","Not yet"))</f>
        <v>Not yet</v>
      </c>
    </row>
    <row r="44" customFormat="false" ht="15" hidden="false" customHeight="false" outlineLevel="0" collapsed="false">
      <c r="A44" s="11" t="s">
        <v>235</v>
      </c>
      <c r="B44" s="11" t="s">
        <v>236</v>
      </c>
      <c r="C44" s="11" t="s">
        <v>106</v>
      </c>
      <c r="D44" s="11" t="s">
        <v>237</v>
      </c>
      <c r="E44" s="11" t="s">
        <v>238</v>
      </c>
      <c r="F44" s="11" t="s">
        <v>57</v>
      </c>
      <c r="G44" s="11" t="s">
        <v>58</v>
      </c>
      <c r="H44" s="11" t="s">
        <v>59</v>
      </c>
      <c r="I44" s="11" t="s">
        <v>60</v>
      </c>
      <c r="J44" s="11"/>
      <c r="K44" s="11"/>
      <c r="L44" s="11"/>
      <c r="M44" s="12" t="str">
        <f aca="false">IF(A44="","",IF(AND(I44="Approved",J44&lt;&gt;"",K44&lt;&gt;""),"Ready","Not yet"))</f>
        <v>Not yet</v>
      </c>
    </row>
    <row r="45" customFormat="false" ht="15" hidden="false" customHeight="false" outlineLevel="0" collapsed="false">
      <c r="A45" s="11" t="s">
        <v>239</v>
      </c>
      <c r="B45" s="11" t="s">
        <v>240</v>
      </c>
      <c r="C45" s="11" t="s">
        <v>106</v>
      </c>
      <c r="D45" s="11" t="s">
        <v>241</v>
      </c>
      <c r="E45" s="11" t="s">
        <v>242</v>
      </c>
      <c r="F45" s="11" t="s">
        <v>57</v>
      </c>
      <c r="G45" s="11" t="s">
        <v>58</v>
      </c>
      <c r="H45" s="11" t="s">
        <v>59</v>
      </c>
      <c r="I45" s="11" t="s">
        <v>60</v>
      </c>
      <c r="J45" s="11"/>
      <c r="K45" s="11"/>
      <c r="L45" s="11"/>
      <c r="M45" s="12" t="str">
        <f aca="false">IF(A45="","",IF(AND(I45="Approved",J45&lt;&gt;"",K45&lt;&gt;""),"Ready","Not yet"))</f>
        <v>Not yet</v>
      </c>
    </row>
    <row r="46" customFormat="false" ht="15" hidden="false" customHeight="false" outlineLevel="0" collapsed="false">
      <c r="A46" s="11" t="s">
        <v>243</v>
      </c>
      <c r="B46" s="11" t="s">
        <v>244</v>
      </c>
      <c r="C46" s="11" t="s">
        <v>106</v>
      </c>
      <c r="D46" s="11" t="s">
        <v>245</v>
      </c>
      <c r="E46" s="11" t="s">
        <v>246</v>
      </c>
      <c r="F46" s="11" t="s">
        <v>57</v>
      </c>
      <c r="G46" s="11" t="s">
        <v>58</v>
      </c>
      <c r="H46" s="11" t="s">
        <v>59</v>
      </c>
      <c r="I46" s="11" t="s">
        <v>60</v>
      </c>
      <c r="J46" s="11"/>
      <c r="K46" s="11"/>
      <c r="L46" s="11"/>
      <c r="M46" s="12" t="str">
        <f aca="false">IF(A46="","",IF(AND(I46="Approved",J46&lt;&gt;"",K46&lt;&gt;""),"Ready","Not yet"))</f>
        <v>Not yet</v>
      </c>
    </row>
    <row r="47" customFormat="false" ht="15" hidden="false" customHeight="false" outlineLevel="0" collapsed="false">
      <c r="A47" s="11" t="s">
        <v>247</v>
      </c>
      <c r="B47" s="11" t="s">
        <v>248</v>
      </c>
      <c r="C47" s="11" t="s">
        <v>106</v>
      </c>
      <c r="D47" s="11" t="s">
        <v>249</v>
      </c>
      <c r="E47" s="11" t="s">
        <v>250</v>
      </c>
      <c r="F47" s="11" t="s">
        <v>57</v>
      </c>
      <c r="G47" s="11" t="s">
        <v>58</v>
      </c>
      <c r="H47" s="11" t="s">
        <v>59</v>
      </c>
      <c r="I47" s="11" t="s">
        <v>60</v>
      </c>
      <c r="J47" s="11"/>
      <c r="K47" s="11"/>
      <c r="L47" s="11"/>
      <c r="M47" s="12" t="str">
        <f aca="false">IF(A47="","",IF(AND(I47="Approved",J47&lt;&gt;"",K47&lt;&gt;""),"Ready","Not yet"))</f>
        <v>Not yet</v>
      </c>
    </row>
    <row r="48" customFormat="false" ht="15" hidden="false" customHeight="false" outlineLevel="0" collapsed="false">
      <c r="A48" s="11" t="s">
        <v>251</v>
      </c>
      <c r="B48" s="11" t="s">
        <v>252</v>
      </c>
      <c r="C48" s="11" t="s">
        <v>106</v>
      </c>
      <c r="D48" s="11" t="s">
        <v>253</v>
      </c>
      <c r="E48" s="11" t="s">
        <v>254</v>
      </c>
      <c r="F48" s="11" t="s">
        <v>255</v>
      </c>
      <c r="G48" s="11" t="s">
        <v>58</v>
      </c>
      <c r="H48" s="11" t="s">
        <v>59</v>
      </c>
      <c r="I48" s="11" t="s">
        <v>60</v>
      </c>
      <c r="J48" s="11"/>
      <c r="K48" s="11"/>
      <c r="L48" s="11"/>
      <c r="M48" s="12" t="str">
        <f aca="false">IF(A48="","",IF(AND(I48="Approved",J48&lt;&gt;"",K48&lt;&gt;""),"Ready","Not yet"))</f>
        <v>Not yet</v>
      </c>
    </row>
    <row r="49" customFormat="false" ht="15" hidden="false" customHeight="false" outlineLevel="0" collapsed="false">
      <c r="A49" s="11" t="s">
        <v>256</v>
      </c>
      <c r="B49" s="11" t="s">
        <v>257</v>
      </c>
      <c r="C49" s="11" t="s">
        <v>106</v>
      </c>
      <c r="D49" s="11" t="s">
        <v>258</v>
      </c>
      <c r="E49" s="11" t="s">
        <v>259</v>
      </c>
      <c r="F49" s="11" t="s">
        <v>255</v>
      </c>
      <c r="G49" s="11" t="s">
        <v>58</v>
      </c>
      <c r="H49" s="11" t="s">
        <v>59</v>
      </c>
      <c r="I49" s="11" t="s">
        <v>60</v>
      </c>
      <c r="J49" s="11"/>
      <c r="K49" s="11"/>
      <c r="L49" s="11"/>
      <c r="M49" s="12" t="str">
        <f aca="false">IF(A49="","",IF(AND(I49="Approved",J49&lt;&gt;"",K49&lt;&gt;""),"Ready","Not yet"))</f>
        <v>Not yet</v>
      </c>
    </row>
    <row r="50" customFormat="false" ht="15" hidden="false" customHeight="false" outlineLevel="0" collapsed="false">
      <c r="A50" s="11" t="s">
        <v>260</v>
      </c>
      <c r="B50" s="11" t="s">
        <v>261</v>
      </c>
      <c r="C50" s="11" t="s">
        <v>106</v>
      </c>
      <c r="D50" s="11" t="s">
        <v>262</v>
      </c>
      <c r="E50" s="11" t="s">
        <v>263</v>
      </c>
      <c r="F50" s="11" t="s">
        <v>264</v>
      </c>
      <c r="G50" s="11" t="s">
        <v>58</v>
      </c>
      <c r="H50" s="11" t="s">
        <v>59</v>
      </c>
      <c r="I50" s="11" t="s">
        <v>60</v>
      </c>
      <c r="J50" s="11"/>
      <c r="K50" s="11"/>
      <c r="L50" s="11"/>
      <c r="M50" s="12" t="str">
        <f aca="false">IF(A50="","",IF(AND(I50="Approved",J50&lt;&gt;"",K50&lt;&gt;""),"Ready","Not yet"))</f>
        <v>Not yet</v>
      </c>
    </row>
    <row r="51" customFormat="false" ht="15" hidden="false" customHeight="false" outlineLevel="0" collapsed="false">
      <c r="A51" s="11" t="s">
        <v>265</v>
      </c>
      <c r="B51" s="11" t="s">
        <v>266</v>
      </c>
      <c r="C51" s="11" t="s">
        <v>106</v>
      </c>
      <c r="D51" s="11" t="s">
        <v>267</v>
      </c>
      <c r="E51" s="11" t="s">
        <v>268</v>
      </c>
      <c r="F51" s="11" t="s">
        <v>264</v>
      </c>
      <c r="G51" s="11" t="s">
        <v>58</v>
      </c>
      <c r="H51" s="11" t="s">
        <v>59</v>
      </c>
      <c r="I51" s="11" t="s">
        <v>60</v>
      </c>
      <c r="J51" s="11"/>
      <c r="K51" s="11"/>
      <c r="L51" s="11"/>
      <c r="M51" s="12" t="str">
        <f aca="false">IF(A51="","",IF(AND(I51="Approved",J51&lt;&gt;"",K51&lt;&gt;""),"Ready","Not yet"))</f>
        <v>Not yet</v>
      </c>
    </row>
    <row r="52" customFormat="false" ht="15" hidden="false" customHeight="false" outlineLevel="0" collapsed="false">
      <c r="A52" s="11" t="s">
        <v>269</v>
      </c>
      <c r="B52" s="11" t="s">
        <v>270</v>
      </c>
      <c r="C52" s="11" t="s">
        <v>106</v>
      </c>
      <c r="D52" s="11" t="s">
        <v>271</v>
      </c>
      <c r="E52" s="11" t="s">
        <v>272</v>
      </c>
      <c r="F52" s="11" t="s">
        <v>264</v>
      </c>
      <c r="G52" s="11" t="s">
        <v>58</v>
      </c>
      <c r="H52" s="11" t="s">
        <v>59</v>
      </c>
      <c r="I52" s="11" t="s">
        <v>60</v>
      </c>
      <c r="J52" s="11"/>
      <c r="K52" s="11"/>
      <c r="L52" s="11"/>
      <c r="M52" s="12" t="str">
        <f aca="false">IF(A52="","",IF(AND(I52="Approved",J52&lt;&gt;"",K52&lt;&gt;""),"Ready","Not yet"))</f>
        <v>Not yet</v>
      </c>
    </row>
    <row r="53" customFormat="false" ht="15" hidden="false" customHeight="false" outlineLevel="0" collapsed="false">
      <c r="A53" s="11" t="s">
        <v>273</v>
      </c>
      <c r="B53" s="11" t="s">
        <v>273</v>
      </c>
      <c r="C53" s="11" t="s">
        <v>106</v>
      </c>
      <c r="D53" s="11" t="s">
        <v>274</v>
      </c>
      <c r="E53" s="11" t="s">
        <v>275</v>
      </c>
      <c r="F53" s="11" t="s">
        <v>57</v>
      </c>
      <c r="G53" s="11" t="s">
        <v>276</v>
      </c>
      <c r="H53" s="11" t="s">
        <v>59</v>
      </c>
      <c r="I53" s="11" t="s">
        <v>60</v>
      </c>
      <c r="J53" s="11"/>
      <c r="K53" s="11"/>
      <c r="L53" s="11"/>
      <c r="M53" s="12" t="str">
        <f aca="false">IF(A53="","",IF(AND(I53="Approved",J53&lt;&gt;"",K53&lt;&gt;""),"Ready","Not yet"))</f>
        <v>Not yet</v>
      </c>
    </row>
    <row r="54" customFormat="false" ht="15" hidden="false" customHeight="false" outlineLevel="0" collapsed="false">
      <c r="A54" s="11" t="s">
        <v>277</v>
      </c>
      <c r="B54" s="11" t="s">
        <v>278</v>
      </c>
      <c r="C54" s="11" t="s">
        <v>106</v>
      </c>
      <c r="D54" s="11" t="s">
        <v>279</v>
      </c>
      <c r="E54" s="11" t="s">
        <v>280</v>
      </c>
      <c r="F54" s="11" t="s">
        <v>281</v>
      </c>
      <c r="G54" s="11" t="s">
        <v>276</v>
      </c>
      <c r="H54" s="11" t="s">
        <v>59</v>
      </c>
      <c r="I54" s="11" t="s">
        <v>60</v>
      </c>
      <c r="J54" s="11"/>
      <c r="K54" s="11"/>
      <c r="L54" s="11"/>
      <c r="M54" s="12" t="str">
        <f aca="false">IF(A54="","",IF(AND(I54="Approved",J54&lt;&gt;"",K54&lt;&gt;""),"Ready","Not yet"))</f>
        <v>Not yet</v>
      </c>
    </row>
    <row r="55" customFormat="false" ht="15" hidden="false" customHeight="false" outlineLevel="0" collapsed="false">
      <c r="A55" s="11" t="s">
        <v>282</v>
      </c>
      <c r="B55" s="11" t="s">
        <v>283</v>
      </c>
      <c r="C55" s="11" t="s">
        <v>106</v>
      </c>
      <c r="D55" s="11" t="s">
        <v>181</v>
      </c>
      <c r="E55" s="11" t="s">
        <v>284</v>
      </c>
      <c r="F55" s="11" t="s">
        <v>183</v>
      </c>
      <c r="G55" s="11" t="s">
        <v>276</v>
      </c>
      <c r="H55" s="11" t="s">
        <v>59</v>
      </c>
      <c r="I55" s="11" t="s">
        <v>60</v>
      </c>
      <c r="J55" s="11"/>
      <c r="K55" s="11"/>
      <c r="L55" s="11"/>
      <c r="M55" s="12" t="str">
        <f aca="false">IF(A55="","",IF(AND(I55="Approved",J55&lt;&gt;"",K55&lt;&gt;""),"Ready","Not yet"))</f>
        <v>Not yet</v>
      </c>
    </row>
    <row r="56" customFormat="false" ht="15" hidden="false" customHeight="false" outlineLevel="0" collapsed="false">
      <c r="A56" s="11" t="s">
        <v>285</v>
      </c>
      <c r="B56" s="11" t="s">
        <v>286</v>
      </c>
      <c r="C56" s="11" t="s">
        <v>106</v>
      </c>
      <c r="D56" s="11" t="s">
        <v>287</v>
      </c>
      <c r="E56" s="11" t="s">
        <v>288</v>
      </c>
      <c r="F56" s="11" t="s">
        <v>57</v>
      </c>
      <c r="G56" s="11" t="s">
        <v>276</v>
      </c>
      <c r="H56" s="11" t="s">
        <v>59</v>
      </c>
      <c r="I56" s="11" t="s">
        <v>60</v>
      </c>
      <c r="J56" s="11"/>
      <c r="K56" s="11"/>
      <c r="L56" s="11"/>
      <c r="M56" s="12" t="str">
        <f aca="false">IF(A56="","",IF(AND(I56="Approved",J56&lt;&gt;"",K56&lt;&gt;""),"Ready","Not yet"))</f>
        <v>Not yet</v>
      </c>
    </row>
    <row r="57" customFormat="false" ht="15" hidden="false" customHeight="false" outlineLevel="0" collapsed="false">
      <c r="A57" s="11" t="s">
        <v>289</v>
      </c>
      <c r="B57" s="11" t="s">
        <v>290</v>
      </c>
      <c r="C57" s="11" t="s">
        <v>106</v>
      </c>
      <c r="D57" s="11" t="s">
        <v>291</v>
      </c>
      <c r="E57" s="11" t="s">
        <v>292</v>
      </c>
      <c r="F57" s="11" t="s">
        <v>57</v>
      </c>
      <c r="G57" s="11" t="s">
        <v>276</v>
      </c>
      <c r="H57" s="11" t="s">
        <v>59</v>
      </c>
      <c r="I57" s="11" t="s">
        <v>60</v>
      </c>
      <c r="J57" s="11"/>
      <c r="K57" s="11"/>
      <c r="L57" s="11"/>
      <c r="M57" s="12" t="str">
        <f aca="false">IF(A57="","",IF(AND(I57="Approved",J57&lt;&gt;"",K57&lt;&gt;""),"Ready","Not yet"))</f>
        <v>Not yet</v>
      </c>
    </row>
    <row r="58" customFormat="false" ht="15" hidden="false" customHeight="false" outlineLevel="0" collapsed="false">
      <c r="A58" s="11" t="s">
        <v>293</v>
      </c>
      <c r="B58" s="11" t="s">
        <v>294</v>
      </c>
      <c r="C58" s="11" t="s">
        <v>106</v>
      </c>
      <c r="D58" s="11" t="s">
        <v>293</v>
      </c>
      <c r="E58" s="11" t="s">
        <v>295</v>
      </c>
      <c r="F58" s="11" t="s">
        <v>114</v>
      </c>
      <c r="G58" s="11" t="s">
        <v>276</v>
      </c>
      <c r="H58" s="11" t="s">
        <v>59</v>
      </c>
      <c r="I58" s="11" t="s">
        <v>60</v>
      </c>
      <c r="J58" s="11"/>
      <c r="K58" s="11"/>
      <c r="L58" s="11"/>
      <c r="M58" s="12" t="str">
        <f aca="false">IF(A58="","",IF(AND(I58="Approved",J58&lt;&gt;"",K58&lt;&gt;""),"Ready","Not yet"))</f>
        <v>Not yet</v>
      </c>
    </row>
    <row r="59" customFormat="false" ht="15" hidden="false" customHeight="false" outlineLevel="0" collapsed="false">
      <c r="A59" s="11" t="s">
        <v>296</v>
      </c>
      <c r="B59" s="11" t="s">
        <v>297</v>
      </c>
      <c r="C59" s="11" t="s">
        <v>298</v>
      </c>
      <c r="D59" s="11" t="s">
        <v>299</v>
      </c>
      <c r="E59" s="11" t="s">
        <v>300</v>
      </c>
      <c r="F59" s="11" t="s">
        <v>57</v>
      </c>
      <c r="G59" s="11" t="s">
        <v>58</v>
      </c>
      <c r="H59" s="11" t="s">
        <v>59</v>
      </c>
      <c r="I59" s="11" t="s">
        <v>60</v>
      </c>
      <c r="J59" s="11"/>
      <c r="K59" s="11"/>
      <c r="L59" s="11"/>
      <c r="M59" s="12" t="str">
        <f aca="false">IF(A59="","",IF(AND(I59="Approved",J59&lt;&gt;"",K59&lt;&gt;""),"Ready","Not yet"))</f>
        <v>Not yet</v>
      </c>
    </row>
    <row r="60" customFormat="false" ht="15" hidden="false" customHeight="false" outlineLevel="0" collapsed="false">
      <c r="A60" s="11" t="s">
        <v>301</v>
      </c>
      <c r="B60" s="11" t="s">
        <v>302</v>
      </c>
      <c r="C60" s="11" t="s">
        <v>298</v>
      </c>
      <c r="D60" s="11" t="s">
        <v>303</v>
      </c>
      <c r="E60" s="11" t="s">
        <v>304</v>
      </c>
      <c r="F60" s="11" t="s">
        <v>57</v>
      </c>
      <c r="G60" s="11" t="s">
        <v>58</v>
      </c>
      <c r="H60" s="11" t="s">
        <v>59</v>
      </c>
      <c r="I60" s="11" t="s">
        <v>60</v>
      </c>
      <c r="J60" s="11"/>
      <c r="K60" s="11"/>
      <c r="L60" s="11"/>
      <c r="M60" s="12" t="str">
        <f aca="false">IF(A60="","",IF(AND(I60="Approved",J60&lt;&gt;"",K60&lt;&gt;""),"Ready","Not yet"))</f>
        <v>Not yet</v>
      </c>
    </row>
    <row r="61" customFormat="false" ht="15" hidden="false" customHeight="false" outlineLevel="0" collapsed="false">
      <c r="A61" s="11" t="s">
        <v>305</v>
      </c>
      <c r="B61" s="11" t="s">
        <v>306</v>
      </c>
      <c r="C61" s="11" t="s">
        <v>298</v>
      </c>
      <c r="D61" s="11" t="s">
        <v>307</v>
      </c>
      <c r="E61" s="11" t="s">
        <v>308</v>
      </c>
      <c r="F61" s="11" t="s">
        <v>57</v>
      </c>
      <c r="G61" s="11" t="s">
        <v>58</v>
      </c>
      <c r="H61" s="11" t="s">
        <v>59</v>
      </c>
      <c r="I61" s="11" t="s">
        <v>60</v>
      </c>
      <c r="J61" s="11"/>
      <c r="K61" s="11"/>
      <c r="L61" s="11"/>
      <c r="M61" s="12" t="str">
        <f aca="false">IF(A61="","",IF(AND(I61="Approved",J61&lt;&gt;"",K61&lt;&gt;""),"Ready","Not yet"))</f>
        <v>Not yet</v>
      </c>
    </row>
    <row r="62" customFormat="false" ht="15" hidden="false" customHeight="false" outlineLevel="0" collapsed="false">
      <c r="A62" s="11" t="s">
        <v>309</v>
      </c>
      <c r="B62" s="11" t="s">
        <v>310</v>
      </c>
      <c r="C62" s="11" t="s">
        <v>298</v>
      </c>
      <c r="D62" s="11" t="s">
        <v>311</v>
      </c>
      <c r="E62" s="11" t="s">
        <v>312</v>
      </c>
      <c r="F62" s="11" t="s">
        <v>57</v>
      </c>
      <c r="G62" s="11" t="s">
        <v>58</v>
      </c>
      <c r="H62" s="11" t="s">
        <v>59</v>
      </c>
      <c r="I62" s="11" t="s">
        <v>60</v>
      </c>
      <c r="J62" s="11"/>
      <c r="K62" s="11"/>
      <c r="L62" s="11"/>
      <c r="M62" s="12" t="str">
        <f aca="false">IF(A62="","",IF(AND(I62="Approved",J62&lt;&gt;"",K62&lt;&gt;""),"Ready","Not yet"))</f>
        <v>Not yet</v>
      </c>
    </row>
    <row r="63" customFormat="false" ht="15" hidden="false" customHeight="false" outlineLevel="0" collapsed="false">
      <c r="A63" s="11" t="s">
        <v>313</v>
      </c>
      <c r="B63" s="11" t="s">
        <v>314</v>
      </c>
      <c r="C63" s="11" t="s">
        <v>298</v>
      </c>
      <c r="D63" s="11" t="s">
        <v>315</v>
      </c>
      <c r="E63" s="11" t="s">
        <v>316</v>
      </c>
      <c r="F63" s="11" t="s">
        <v>57</v>
      </c>
      <c r="G63" s="11" t="s">
        <v>58</v>
      </c>
      <c r="H63" s="11" t="s">
        <v>59</v>
      </c>
      <c r="I63" s="11" t="s">
        <v>60</v>
      </c>
      <c r="J63" s="11"/>
      <c r="K63" s="11"/>
      <c r="L63" s="11"/>
      <c r="M63" s="12" t="str">
        <f aca="false">IF(A63="","",IF(AND(I63="Approved",J63&lt;&gt;"",K63&lt;&gt;""),"Ready","Not yet"))</f>
        <v>Not yet</v>
      </c>
    </row>
    <row r="64" customFormat="false" ht="15" hidden="false" customHeight="false" outlineLevel="0" collapsed="false">
      <c r="A64" s="11" t="s">
        <v>317</v>
      </c>
      <c r="B64" s="11" t="s">
        <v>318</v>
      </c>
      <c r="C64" s="11" t="s">
        <v>298</v>
      </c>
      <c r="D64" s="11" t="s">
        <v>319</v>
      </c>
      <c r="E64" s="11" t="s">
        <v>320</v>
      </c>
      <c r="F64" s="11" t="s">
        <v>57</v>
      </c>
      <c r="G64" s="11" t="s">
        <v>58</v>
      </c>
      <c r="H64" s="11" t="s">
        <v>59</v>
      </c>
      <c r="I64" s="11" t="s">
        <v>60</v>
      </c>
      <c r="J64" s="11"/>
      <c r="K64" s="11"/>
      <c r="L64" s="11"/>
      <c r="M64" s="12" t="str">
        <f aca="false">IF(A64="","",IF(AND(I64="Approved",J64&lt;&gt;"",K64&lt;&gt;""),"Ready","Not yet"))</f>
        <v>Not yet</v>
      </c>
    </row>
    <row r="65" customFormat="false" ht="15" hidden="false" customHeight="false" outlineLevel="0" collapsed="false">
      <c r="A65" s="11" t="s">
        <v>321</v>
      </c>
      <c r="B65" s="11" t="s">
        <v>322</v>
      </c>
      <c r="C65" s="11" t="s">
        <v>298</v>
      </c>
      <c r="D65" s="11" t="s">
        <v>323</v>
      </c>
      <c r="E65" s="11" t="s">
        <v>324</v>
      </c>
      <c r="F65" s="11" t="s">
        <v>57</v>
      </c>
      <c r="G65" s="11" t="s">
        <v>58</v>
      </c>
      <c r="H65" s="11" t="s">
        <v>59</v>
      </c>
      <c r="I65" s="11" t="s">
        <v>60</v>
      </c>
      <c r="J65" s="11"/>
      <c r="K65" s="11"/>
      <c r="L65" s="11"/>
      <c r="M65" s="12" t="str">
        <f aca="false">IF(A65="","",IF(AND(I65="Approved",J65&lt;&gt;"",K65&lt;&gt;""),"Ready","Not yet"))</f>
        <v>Not yet</v>
      </c>
    </row>
    <row r="66" customFormat="false" ht="15" hidden="false" customHeight="false" outlineLevel="0" collapsed="false">
      <c r="A66" s="11" t="s">
        <v>325</v>
      </c>
      <c r="B66" s="11" t="s">
        <v>326</v>
      </c>
      <c r="C66" s="11" t="s">
        <v>298</v>
      </c>
      <c r="D66" s="11" t="s">
        <v>327</v>
      </c>
      <c r="E66" s="11" t="s">
        <v>328</v>
      </c>
      <c r="F66" s="11" t="s">
        <v>57</v>
      </c>
      <c r="G66" s="11" t="s">
        <v>58</v>
      </c>
      <c r="H66" s="11" t="s">
        <v>59</v>
      </c>
      <c r="I66" s="11" t="s">
        <v>60</v>
      </c>
      <c r="J66" s="11"/>
      <c r="K66" s="11"/>
      <c r="L66" s="11"/>
      <c r="M66" s="12" t="str">
        <f aca="false">IF(A66="","",IF(AND(I66="Approved",J66&lt;&gt;"",K66&lt;&gt;""),"Ready","Not yet"))</f>
        <v>Not yet</v>
      </c>
    </row>
    <row r="67" customFormat="false" ht="15" hidden="false" customHeight="false" outlineLevel="0" collapsed="false">
      <c r="A67" s="11" t="s">
        <v>329</v>
      </c>
      <c r="B67" s="11" t="s">
        <v>330</v>
      </c>
      <c r="C67" s="11" t="s">
        <v>298</v>
      </c>
      <c r="D67" s="11" t="s">
        <v>331</v>
      </c>
      <c r="E67" s="11" t="s">
        <v>332</v>
      </c>
      <c r="F67" s="11" t="s">
        <v>57</v>
      </c>
      <c r="G67" s="11" t="s">
        <v>58</v>
      </c>
      <c r="H67" s="11" t="s">
        <v>59</v>
      </c>
      <c r="I67" s="11" t="s">
        <v>60</v>
      </c>
      <c r="J67" s="11"/>
      <c r="K67" s="11"/>
      <c r="L67" s="11"/>
      <c r="M67" s="12" t="str">
        <f aca="false">IF(A67="","",IF(AND(I67="Approved",J67&lt;&gt;"",K67&lt;&gt;""),"Ready","Not yet"))</f>
        <v>Not yet</v>
      </c>
    </row>
    <row r="68" customFormat="false" ht="15" hidden="false" customHeight="false" outlineLevel="0" collapsed="false">
      <c r="A68" s="11" t="s">
        <v>333</v>
      </c>
      <c r="B68" s="11" t="s">
        <v>334</v>
      </c>
      <c r="C68" s="11" t="s">
        <v>298</v>
      </c>
      <c r="D68" s="11" t="s">
        <v>335</v>
      </c>
      <c r="E68" s="11" t="s">
        <v>333</v>
      </c>
      <c r="F68" s="11" t="s">
        <v>57</v>
      </c>
      <c r="G68" s="11" t="s">
        <v>58</v>
      </c>
      <c r="H68" s="11" t="s">
        <v>59</v>
      </c>
      <c r="I68" s="11" t="s">
        <v>60</v>
      </c>
      <c r="J68" s="11"/>
      <c r="K68" s="11"/>
      <c r="L68" s="11"/>
      <c r="M68" s="12" t="str">
        <f aca="false">IF(A68="","",IF(AND(I68="Approved",J68&lt;&gt;"",K68&lt;&gt;""),"Ready","Not yet"))</f>
        <v>Not yet</v>
      </c>
    </row>
    <row r="69" customFormat="false" ht="15" hidden="false" customHeight="false" outlineLevel="0" collapsed="false">
      <c r="A69" s="11" t="s">
        <v>336</v>
      </c>
      <c r="B69" s="11" t="s">
        <v>337</v>
      </c>
      <c r="C69" s="11" t="s">
        <v>298</v>
      </c>
      <c r="D69" s="11" t="s">
        <v>338</v>
      </c>
      <c r="E69" s="11" t="s">
        <v>339</v>
      </c>
      <c r="F69" s="11" t="s">
        <v>57</v>
      </c>
      <c r="G69" s="11" t="s">
        <v>58</v>
      </c>
      <c r="H69" s="11" t="s">
        <v>59</v>
      </c>
      <c r="I69" s="11" t="s">
        <v>60</v>
      </c>
      <c r="J69" s="11"/>
      <c r="K69" s="11"/>
      <c r="L69" s="11"/>
      <c r="M69" s="12" t="str">
        <f aca="false">IF(A69="","",IF(AND(I69="Approved",J69&lt;&gt;"",K69&lt;&gt;""),"Ready","Not yet"))</f>
        <v>Not yet</v>
      </c>
    </row>
    <row r="70" customFormat="false" ht="15" hidden="false" customHeight="false" outlineLevel="0" collapsed="false">
      <c r="A70" s="11" t="s">
        <v>340</v>
      </c>
      <c r="B70" s="11" t="s">
        <v>341</v>
      </c>
      <c r="C70" s="11" t="s">
        <v>298</v>
      </c>
      <c r="D70" s="11" t="s">
        <v>342</v>
      </c>
      <c r="E70" s="11" t="s">
        <v>343</v>
      </c>
      <c r="F70" s="11" t="s">
        <v>57</v>
      </c>
      <c r="G70" s="11" t="s">
        <v>58</v>
      </c>
      <c r="H70" s="11" t="s">
        <v>59</v>
      </c>
      <c r="I70" s="11" t="s">
        <v>60</v>
      </c>
      <c r="J70" s="11"/>
      <c r="K70" s="11"/>
      <c r="L70" s="11"/>
      <c r="M70" s="12" t="str">
        <f aca="false">IF(A70="","",IF(AND(I70="Approved",J70&lt;&gt;"",K70&lt;&gt;""),"Ready","Not yet"))</f>
        <v>Not yet</v>
      </c>
    </row>
    <row r="71" customFormat="false" ht="15" hidden="false" customHeight="false" outlineLevel="0" collapsed="false">
      <c r="A71" s="11" t="s">
        <v>344</v>
      </c>
      <c r="B71" s="11" t="s">
        <v>345</v>
      </c>
      <c r="C71" s="11" t="s">
        <v>298</v>
      </c>
      <c r="D71" s="11" t="s">
        <v>346</v>
      </c>
      <c r="E71" s="11" t="s">
        <v>347</v>
      </c>
      <c r="F71" s="11" t="s">
        <v>57</v>
      </c>
      <c r="G71" s="11" t="s">
        <v>58</v>
      </c>
      <c r="H71" s="11" t="s">
        <v>59</v>
      </c>
      <c r="I71" s="11" t="s">
        <v>60</v>
      </c>
      <c r="J71" s="11"/>
      <c r="K71" s="11"/>
      <c r="L71" s="11"/>
      <c r="M71" s="12" t="str">
        <f aca="false">IF(A71="","",IF(AND(I71="Approved",J71&lt;&gt;"",K71&lt;&gt;""),"Ready","Not yet"))</f>
        <v>Not yet</v>
      </c>
    </row>
    <row r="72" customFormat="false" ht="15" hidden="false" customHeight="false" outlineLevel="0" collapsed="false">
      <c r="A72" s="11" t="s">
        <v>348</v>
      </c>
      <c r="B72" s="11" t="s">
        <v>349</v>
      </c>
      <c r="C72" s="11" t="s">
        <v>298</v>
      </c>
      <c r="D72" s="11" t="s">
        <v>249</v>
      </c>
      <c r="E72" s="11" t="s">
        <v>350</v>
      </c>
      <c r="F72" s="11" t="s">
        <v>57</v>
      </c>
      <c r="G72" s="11" t="s">
        <v>58</v>
      </c>
      <c r="H72" s="11" t="s">
        <v>59</v>
      </c>
      <c r="I72" s="11" t="s">
        <v>60</v>
      </c>
      <c r="J72" s="11"/>
      <c r="K72" s="11"/>
      <c r="L72" s="11"/>
      <c r="M72" s="12" t="str">
        <f aca="false">IF(A72="","",IF(AND(I72="Approved",J72&lt;&gt;"",K72&lt;&gt;""),"Ready","Not yet"))</f>
        <v>Not yet</v>
      </c>
    </row>
    <row r="73" customFormat="false" ht="15" hidden="false" customHeight="false" outlineLevel="0" collapsed="false">
      <c r="A73" s="11" t="s">
        <v>351</v>
      </c>
      <c r="B73" s="11" t="s">
        <v>352</v>
      </c>
      <c r="C73" s="11" t="s">
        <v>298</v>
      </c>
      <c r="D73" s="11" t="s">
        <v>353</v>
      </c>
      <c r="E73" s="11" t="s">
        <v>354</v>
      </c>
      <c r="F73" s="11" t="s">
        <v>57</v>
      </c>
      <c r="G73" s="11" t="s">
        <v>58</v>
      </c>
      <c r="H73" s="11" t="s">
        <v>59</v>
      </c>
      <c r="I73" s="11" t="s">
        <v>60</v>
      </c>
      <c r="J73" s="11"/>
      <c r="K73" s="11"/>
      <c r="L73" s="11"/>
      <c r="M73" s="12" t="str">
        <f aca="false">IF(A73="","",IF(AND(I73="Approved",J73&lt;&gt;"",K73&lt;&gt;""),"Ready","Not yet"))</f>
        <v>Not yet</v>
      </c>
    </row>
    <row r="74" customFormat="false" ht="15" hidden="false" customHeight="false" outlineLevel="0" collapsed="false">
      <c r="A74" s="11" t="s">
        <v>355</v>
      </c>
      <c r="B74" s="11" t="s">
        <v>356</v>
      </c>
      <c r="C74" s="11" t="s">
        <v>298</v>
      </c>
      <c r="D74" s="11" t="s">
        <v>357</v>
      </c>
      <c r="E74" s="11" t="s">
        <v>358</v>
      </c>
      <c r="F74" s="11" t="s">
        <v>57</v>
      </c>
      <c r="G74" s="11" t="s">
        <v>58</v>
      </c>
      <c r="H74" s="11" t="s">
        <v>59</v>
      </c>
      <c r="I74" s="11" t="s">
        <v>60</v>
      </c>
      <c r="J74" s="11"/>
      <c r="K74" s="11"/>
      <c r="L74" s="11"/>
      <c r="M74" s="12" t="str">
        <f aca="false">IF(A74="","",IF(AND(I74="Approved",J74&lt;&gt;"",K74&lt;&gt;""),"Ready","Not yet"))</f>
        <v>Not yet</v>
      </c>
    </row>
    <row r="75" customFormat="false" ht="15" hidden="false" customHeight="false" outlineLevel="0" collapsed="false">
      <c r="A75" s="11" t="s">
        <v>359</v>
      </c>
      <c r="B75" s="11" t="s">
        <v>360</v>
      </c>
      <c r="C75" s="11" t="s">
        <v>298</v>
      </c>
      <c r="D75" s="11" t="s">
        <v>361</v>
      </c>
      <c r="E75" s="11" t="s">
        <v>362</v>
      </c>
      <c r="F75" s="11" t="s">
        <v>57</v>
      </c>
      <c r="G75" s="11" t="s">
        <v>58</v>
      </c>
      <c r="H75" s="11" t="s">
        <v>59</v>
      </c>
      <c r="I75" s="11" t="s">
        <v>60</v>
      </c>
      <c r="J75" s="11"/>
      <c r="K75" s="11"/>
      <c r="L75" s="11"/>
      <c r="M75" s="12" t="str">
        <f aca="false">IF(A75="","",IF(AND(I75="Approved",J75&lt;&gt;"",K75&lt;&gt;""),"Ready","Not yet"))</f>
        <v>Not yet</v>
      </c>
    </row>
    <row r="76" customFormat="false" ht="15" hidden="false" customHeight="false" outlineLevel="0" collapsed="false">
      <c r="A76" s="11" t="s">
        <v>363</v>
      </c>
      <c r="B76" s="11" t="s">
        <v>364</v>
      </c>
      <c r="C76" s="11" t="s">
        <v>298</v>
      </c>
      <c r="D76" s="11" t="s">
        <v>365</v>
      </c>
      <c r="E76" s="11" t="s">
        <v>366</v>
      </c>
      <c r="F76" s="11" t="s">
        <v>57</v>
      </c>
      <c r="G76" s="11" t="s">
        <v>58</v>
      </c>
      <c r="H76" s="11" t="s">
        <v>59</v>
      </c>
      <c r="I76" s="11" t="s">
        <v>60</v>
      </c>
      <c r="J76" s="11"/>
      <c r="K76" s="11"/>
      <c r="L76" s="11"/>
      <c r="M76" s="12" t="str">
        <f aca="false">IF(A76="","",IF(AND(I76="Approved",J76&lt;&gt;"",K76&lt;&gt;""),"Ready","Not yet"))</f>
        <v>Not yet</v>
      </c>
    </row>
    <row r="77" customFormat="false" ht="15" hidden="false" customHeight="false" outlineLevel="0" collapsed="false">
      <c r="A77" s="11" t="s">
        <v>367</v>
      </c>
      <c r="B77" s="11" t="s">
        <v>368</v>
      </c>
      <c r="C77" s="11" t="s">
        <v>298</v>
      </c>
      <c r="D77" s="11" t="s">
        <v>369</v>
      </c>
      <c r="E77" s="11" t="s">
        <v>370</v>
      </c>
      <c r="F77" s="11" t="s">
        <v>57</v>
      </c>
      <c r="G77" s="11" t="s">
        <v>58</v>
      </c>
      <c r="H77" s="11" t="s">
        <v>59</v>
      </c>
      <c r="I77" s="11" t="s">
        <v>60</v>
      </c>
      <c r="J77" s="11"/>
      <c r="K77" s="11"/>
      <c r="L77" s="11"/>
      <c r="M77" s="12" t="str">
        <f aca="false">IF(A77="","",IF(AND(I77="Approved",J77&lt;&gt;"",K77&lt;&gt;""),"Ready","Not yet"))</f>
        <v>Not yet</v>
      </c>
    </row>
    <row r="78" customFormat="false" ht="15" hidden="false" customHeight="false" outlineLevel="0" collapsed="false">
      <c r="A78" s="11" t="s">
        <v>371</v>
      </c>
      <c r="B78" s="11" t="s">
        <v>372</v>
      </c>
      <c r="C78" s="11" t="s">
        <v>298</v>
      </c>
      <c r="D78" s="11" t="s">
        <v>373</v>
      </c>
      <c r="E78" s="11" t="s">
        <v>374</v>
      </c>
      <c r="F78" s="11" t="s">
        <v>57</v>
      </c>
      <c r="G78" s="11" t="s">
        <v>58</v>
      </c>
      <c r="H78" s="11" t="s">
        <v>59</v>
      </c>
      <c r="I78" s="11" t="s">
        <v>60</v>
      </c>
      <c r="J78" s="11"/>
      <c r="K78" s="11"/>
      <c r="L78" s="11"/>
      <c r="M78" s="12" t="str">
        <f aca="false">IF(A78="","",IF(AND(I78="Approved",J78&lt;&gt;"",K78&lt;&gt;""),"Ready","Not yet"))</f>
        <v>Not yet</v>
      </c>
    </row>
    <row r="79" customFormat="false" ht="15" hidden="false" customHeight="false" outlineLevel="0" collapsed="false">
      <c r="A79" s="11" t="s">
        <v>375</v>
      </c>
      <c r="B79" s="11" t="s">
        <v>376</v>
      </c>
      <c r="C79" s="11" t="s">
        <v>298</v>
      </c>
      <c r="D79" s="11" t="s">
        <v>377</v>
      </c>
      <c r="E79" s="11" t="s">
        <v>378</v>
      </c>
      <c r="F79" s="11" t="s">
        <v>57</v>
      </c>
      <c r="G79" s="11" t="s">
        <v>276</v>
      </c>
      <c r="H79" s="11" t="s">
        <v>59</v>
      </c>
      <c r="I79" s="11" t="s">
        <v>60</v>
      </c>
      <c r="J79" s="11"/>
      <c r="K79" s="11"/>
      <c r="L79" s="11"/>
      <c r="M79" s="12" t="str">
        <f aca="false">IF(A79="","",IF(AND(I79="Approved",J79&lt;&gt;"",K79&lt;&gt;""),"Ready","Not yet"))</f>
        <v>Not yet</v>
      </c>
    </row>
    <row r="80" customFormat="false" ht="15" hidden="false" customHeight="false" outlineLevel="0" collapsed="false">
      <c r="A80" s="11" t="s">
        <v>379</v>
      </c>
      <c r="B80" s="11" t="s">
        <v>380</v>
      </c>
      <c r="C80" s="11" t="s">
        <v>298</v>
      </c>
      <c r="D80" s="11" t="s">
        <v>381</v>
      </c>
      <c r="E80" s="11" t="s">
        <v>382</v>
      </c>
      <c r="F80" s="11" t="s">
        <v>57</v>
      </c>
      <c r="G80" s="11" t="s">
        <v>276</v>
      </c>
      <c r="H80" s="11" t="s">
        <v>59</v>
      </c>
      <c r="I80" s="11" t="s">
        <v>60</v>
      </c>
      <c r="J80" s="11"/>
      <c r="K80" s="11"/>
      <c r="L80" s="11"/>
      <c r="M80" s="12" t="str">
        <f aca="false">IF(A80="","",IF(AND(I80="Approved",J80&lt;&gt;"",K80&lt;&gt;""),"Ready","Not yet"))</f>
        <v>Not yet</v>
      </c>
    </row>
    <row r="81" customFormat="false" ht="15" hidden="false" customHeight="false" outlineLevel="0" collapsed="false">
      <c r="A81" s="11"/>
      <c r="B81" s="11"/>
      <c r="C81" s="11"/>
      <c r="D81" s="11"/>
      <c r="E81" s="11"/>
      <c r="F81" s="11"/>
      <c r="G81" s="11"/>
      <c r="H81" s="11"/>
      <c r="I81" s="11"/>
      <c r="J81" s="11"/>
      <c r="K81" s="11"/>
      <c r="L81" s="11"/>
      <c r="M81" s="12" t="str">
        <f aca="false">IF(A81="","",IF(AND(I81="Approved",J81&lt;&gt;"",K81&lt;&gt;""),"Ready","Not yet"))</f>
        <v/>
      </c>
    </row>
    <row r="82" customFormat="false" ht="15" hidden="false" customHeight="false" outlineLevel="0" collapsed="false">
      <c r="A82" s="11"/>
      <c r="B82" s="11"/>
      <c r="C82" s="11"/>
      <c r="D82" s="11"/>
      <c r="E82" s="11"/>
      <c r="F82" s="11"/>
      <c r="G82" s="11"/>
      <c r="H82" s="11"/>
      <c r="I82" s="11"/>
      <c r="J82" s="11"/>
      <c r="K82" s="11"/>
      <c r="L82" s="11"/>
      <c r="M82" s="12" t="str">
        <f aca="false">IF(A82="","",IF(AND(I82="Approved",J82&lt;&gt;"",K82&lt;&gt;""),"Ready","Not yet"))</f>
        <v/>
      </c>
    </row>
    <row r="83" customFormat="false" ht="15" hidden="false" customHeight="false" outlineLevel="0" collapsed="false">
      <c r="A83" s="11"/>
      <c r="B83" s="11"/>
      <c r="C83" s="11"/>
      <c r="D83" s="11"/>
      <c r="E83" s="11"/>
      <c r="F83" s="11"/>
      <c r="G83" s="11"/>
      <c r="H83" s="11"/>
      <c r="I83" s="11"/>
      <c r="J83" s="11"/>
      <c r="K83" s="11"/>
      <c r="L83" s="11"/>
      <c r="M83" s="12" t="str">
        <f aca="false">IF(A83="","",IF(AND(I83="Approved",J83&lt;&gt;"",K83&lt;&gt;""),"Ready","Not yet"))</f>
        <v/>
      </c>
    </row>
    <row r="84" customFormat="false" ht="15" hidden="false" customHeight="false" outlineLevel="0" collapsed="false">
      <c r="A84" s="11"/>
      <c r="B84" s="11"/>
      <c r="C84" s="11"/>
      <c r="D84" s="11"/>
      <c r="E84" s="11"/>
      <c r="F84" s="11"/>
      <c r="G84" s="11"/>
      <c r="H84" s="11"/>
      <c r="I84" s="11"/>
      <c r="J84" s="11"/>
      <c r="K84" s="11"/>
      <c r="L84" s="11"/>
      <c r="M84" s="12" t="str">
        <f aca="false">IF(A84="","",IF(AND(I84="Approved",J84&lt;&gt;"",K84&lt;&gt;""),"Ready","Not yet"))</f>
        <v/>
      </c>
    </row>
    <row r="85" customFormat="false" ht="15" hidden="false" customHeight="false" outlineLevel="0" collapsed="false">
      <c r="A85" s="11"/>
      <c r="B85" s="11"/>
      <c r="C85" s="11"/>
      <c r="D85" s="11"/>
      <c r="E85" s="11"/>
      <c r="F85" s="11"/>
      <c r="G85" s="11"/>
      <c r="H85" s="11"/>
      <c r="I85" s="11"/>
      <c r="J85" s="11"/>
      <c r="K85" s="11"/>
      <c r="L85" s="11"/>
      <c r="M85" s="12" t="str">
        <f aca="false">IF(A85="","",IF(AND(I85="Approved",J85&lt;&gt;"",K85&lt;&gt;""),"Ready","Not yet"))</f>
        <v/>
      </c>
    </row>
    <row r="86" customFormat="false" ht="15" hidden="false" customHeight="false" outlineLevel="0" collapsed="false">
      <c r="A86" s="11"/>
      <c r="B86" s="11"/>
      <c r="C86" s="11"/>
      <c r="D86" s="11"/>
      <c r="E86" s="11"/>
      <c r="F86" s="11"/>
      <c r="G86" s="11"/>
      <c r="H86" s="11"/>
      <c r="I86" s="11"/>
      <c r="J86" s="11"/>
      <c r="K86" s="11"/>
      <c r="L86" s="11"/>
      <c r="M86" s="12" t="str">
        <f aca="false">IF(A86="","",IF(AND(I86="Approved",J86&lt;&gt;"",K86&lt;&gt;""),"Ready","Not yet"))</f>
        <v/>
      </c>
    </row>
    <row r="87" customFormat="false" ht="15" hidden="false" customHeight="false" outlineLevel="0" collapsed="false">
      <c r="A87" s="11"/>
      <c r="B87" s="11"/>
      <c r="C87" s="11"/>
      <c r="D87" s="11"/>
      <c r="E87" s="11"/>
      <c r="F87" s="11"/>
      <c r="G87" s="11"/>
      <c r="H87" s="11"/>
      <c r="I87" s="11"/>
      <c r="J87" s="11"/>
      <c r="K87" s="11"/>
      <c r="L87" s="11"/>
      <c r="M87" s="12" t="str">
        <f aca="false">IF(A87="","",IF(AND(I87="Approved",J87&lt;&gt;"",K87&lt;&gt;""),"Ready","Not yet"))</f>
        <v/>
      </c>
    </row>
    <row r="88" customFormat="false" ht="15" hidden="false" customHeight="false" outlineLevel="0" collapsed="false">
      <c r="A88" s="11"/>
      <c r="B88" s="11"/>
      <c r="C88" s="11"/>
      <c r="D88" s="11"/>
      <c r="E88" s="11"/>
      <c r="F88" s="11"/>
      <c r="G88" s="11"/>
      <c r="H88" s="11"/>
      <c r="I88" s="11"/>
      <c r="J88" s="11"/>
      <c r="K88" s="11"/>
      <c r="L88" s="11"/>
      <c r="M88" s="12" t="str">
        <f aca="false">IF(A88="","",IF(AND(I88="Approved",J88&lt;&gt;"",K88&lt;&gt;""),"Ready","Not yet"))</f>
        <v/>
      </c>
    </row>
    <row r="89" customFormat="false" ht="15" hidden="false" customHeight="false" outlineLevel="0" collapsed="false">
      <c r="A89" s="11"/>
      <c r="B89" s="11"/>
      <c r="C89" s="11"/>
      <c r="D89" s="11"/>
      <c r="E89" s="11"/>
      <c r="F89" s="11"/>
      <c r="G89" s="11"/>
      <c r="H89" s="11"/>
      <c r="I89" s="11"/>
      <c r="J89" s="11"/>
      <c r="K89" s="11"/>
      <c r="L89" s="11"/>
      <c r="M89" s="12" t="str">
        <f aca="false">IF(A89="","",IF(AND(I89="Approved",J89&lt;&gt;"",K89&lt;&gt;""),"Ready","Not yet"))</f>
        <v/>
      </c>
    </row>
    <row r="90" customFormat="false" ht="15" hidden="false" customHeight="false" outlineLevel="0" collapsed="false">
      <c r="A90" s="11"/>
      <c r="B90" s="11"/>
      <c r="C90" s="11"/>
      <c r="D90" s="11"/>
      <c r="E90" s="11"/>
      <c r="F90" s="11"/>
      <c r="G90" s="11"/>
      <c r="H90" s="11"/>
      <c r="I90" s="11"/>
      <c r="J90" s="11"/>
      <c r="K90" s="11"/>
      <c r="L90" s="11"/>
      <c r="M90" s="12" t="str">
        <f aca="false">IF(A90="","",IF(AND(I90="Approved",J90&lt;&gt;"",K90&lt;&gt;""),"Ready","Not yet"))</f>
        <v/>
      </c>
    </row>
    <row r="91" customFormat="false" ht="15" hidden="false" customHeight="false" outlineLevel="0" collapsed="false">
      <c r="A91" s="11"/>
      <c r="B91" s="11"/>
      <c r="C91" s="11"/>
      <c r="D91" s="11"/>
      <c r="E91" s="11"/>
      <c r="F91" s="11"/>
      <c r="G91" s="11"/>
      <c r="H91" s="11"/>
      <c r="I91" s="11"/>
      <c r="J91" s="11"/>
      <c r="K91" s="11"/>
      <c r="L91" s="11"/>
      <c r="M91" s="12" t="str">
        <f aca="false">IF(A91="","",IF(AND(I91="Approved",J91&lt;&gt;"",K91&lt;&gt;""),"Ready","Not yet"))</f>
        <v/>
      </c>
    </row>
    <row r="92" customFormat="false" ht="15" hidden="false" customHeight="false" outlineLevel="0" collapsed="false">
      <c r="A92" s="11"/>
      <c r="B92" s="11"/>
      <c r="C92" s="11"/>
      <c r="D92" s="11"/>
      <c r="E92" s="11"/>
      <c r="F92" s="11"/>
      <c r="G92" s="11"/>
      <c r="H92" s="11"/>
      <c r="I92" s="11"/>
      <c r="J92" s="11"/>
      <c r="K92" s="11"/>
      <c r="L92" s="11"/>
      <c r="M92" s="12" t="str">
        <f aca="false">IF(A92="","",IF(AND(I92="Approved",J92&lt;&gt;"",K92&lt;&gt;""),"Ready","Not yet"))</f>
        <v/>
      </c>
    </row>
    <row r="93" customFormat="false" ht="15" hidden="false" customHeight="false" outlineLevel="0" collapsed="false">
      <c r="A93" s="11"/>
      <c r="B93" s="11"/>
      <c r="C93" s="11"/>
      <c r="D93" s="11"/>
      <c r="E93" s="11"/>
      <c r="F93" s="11"/>
      <c r="G93" s="11"/>
      <c r="H93" s="11"/>
      <c r="I93" s="11"/>
      <c r="J93" s="11"/>
      <c r="K93" s="11"/>
      <c r="L93" s="11"/>
      <c r="M93" s="12" t="str">
        <f aca="false">IF(A93="","",IF(AND(I93="Approved",J93&lt;&gt;"",K93&lt;&gt;""),"Ready","Not yet"))</f>
        <v/>
      </c>
    </row>
    <row r="94" customFormat="false" ht="15" hidden="false" customHeight="false" outlineLevel="0" collapsed="false">
      <c r="A94" s="11"/>
      <c r="B94" s="11"/>
      <c r="C94" s="11"/>
      <c r="D94" s="11"/>
      <c r="E94" s="11"/>
      <c r="F94" s="11"/>
      <c r="G94" s="11"/>
      <c r="H94" s="11"/>
      <c r="I94" s="11"/>
      <c r="J94" s="11"/>
      <c r="K94" s="11"/>
      <c r="L94" s="11"/>
      <c r="M94" s="12" t="str">
        <f aca="false">IF(A94="","",IF(AND(I94="Approved",J94&lt;&gt;"",K94&lt;&gt;""),"Ready","Not yet"))</f>
        <v/>
      </c>
    </row>
    <row r="95" customFormat="false" ht="15" hidden="false" customHeight="false" outlineLevel="0" collapsed="false">
      <c r="A95" s="11"/>
      <c r="B95" s="11"/>
      <c r="C95" s="11"/>
      <c r="D95" s="11"/>
      <c r="E95" s="11"/>
      <c r="F95" s="11"/>
      <c r="G95" s="11"/>
      <c r="H95" s="11"/>
      <c r="I95" s="11"/>
      <c r="J95" s="11"/>
      <c r="K95" s="11"/>
      <c r="L95" s="11"/>
      <c r="M95" s="12" t="str">
        <f aca="false">IF(A95="","",IF(AND(I95="Approved",J95&lt;&gt;"",K95&lt;&gt;""),"Ready","Not yet"))</f>
        <v/>
      </c>
    </row>
    <row r="96" customFormat="false" ht="15" hidden="false" customHeight="false" outlineLevel="0" collapsed="false">
      <c r="A96" s="11"/>
      <c r="B96" s="11"/>
      <c r="C96" s="11"/>
      <c r="D96" s="11"/>
      <c r="E96" s="11"/>
      <c r="F96" s="11"/>
      <c r="G96" s="11"/>
      <c r="H96" s="11"/>
      <c r="I96" s="11"/>
      <c r="J96" s="11"/>
      <c r="K96" s="11"/>
      <c r="L96" s="11"/>
      <c r="M96" s="12" t="str">
        <f aca="false">IF(A96="","",IF(AND(I96="Approved",J96&lt;&gt;"",K96&lt;&gt;""),"Ready","Not yet"))</f>
        <v/>
      </c>
    </row>
    <row r="97" customFormat="false" ht="15" hidden="false" customHeight="false" outlineLevel="0" collapsed="false">
      <c r="A97" s="11"/>
      <c r="B97" s="11"/>
      <c r="C97" s="11"/>
      <c r="D97" s="11"/>
      <c r="E97" s="11"/>
      <c r="F97" s="11"/>
      <c r="G97" s="11"/>
      <c r="H97" s="11"/>
      <c r="I97" s="11"/>
      <c r="J97" s="11"/>
      <c r="K97" s="11"/>
      <c r="L97" s="11"/>
      <c r="M97" s="12" t="str">
        <f aca="false">IF(A97="","",IF(AND(I97="Approved",J97&lt;&gt;"",K97&lt;&gt;""),"Ready","Not yet"))</f>
        <v/>
      </c>
    </row>
    <row r="98" customFormat="false" ht="15" hidden="false" customHeight="false" outlineLevel="0" collapsed="false">
      <c r="A98" s="11"/>
      <c r="B98" s="11"/>
      <c r="C98" s="11"/>
      <c r="D98" s="11"/>
      <c r="E98" s="11"/>
      <c r="F98" s="11"/>
      <c r="G98" s="11"/>
      <c r="H98" s="11"/>
      <c r="I98" s="11"/>
      <c r="J98" s="11"/>
      <c r="K98" s="11"/>
      <c r="L98" s="11"/>
      <c r="M98" s="12" t="str">
        <f aca="false">IF(A98="","",IF(AND(I98="Approved",J98&lt;&gt;"",K98&lt;&gt;""),"Ready","Not yet"))</f>
        <v/>
      </c>
    </row>
    <row r="99" customFormat="false" ht="15" hidden="false" customHeight="false" outlineLevel="0" collapsed="false">
      <c r="A99" s="11"/>
      <c r="B99" s="11"/>
      <c r="C99" s="11"/>
      <c r="D99" s="11"/>
      <c r="E99" s="11"/>
      <c r="F99" s="11"/>
      <c r="G99" s="11"/>
      <c r="H99" s="11"/>
      <c r="I99" s="11"/>
      <c r="J99" s="11"/>
      <c r="K99" s="11"/>
      <c r="L99" s="11"/>
      <c r="M99" s="12" t="str">
        <f aca="false">IF(A99="","",IF(AND(I99="Approved",J99&lt;&gt;"",K99&lt;&gt;""),"Ready","Not yet"))</f>
        <v/>
      </c>
    </row>
    <row r="100" customFormat="false" ht="15" hidden="false" customHeight="false" outlineLevel="0" collapsed="false">
      <c r="A100" s="11"/>
      <c r="B100" s="11"/>
      <c r="C100" s="11"/>
      <c r="D100" s="11"/>
      <c r="E100" s="11"/>
      <c r="F100" s="11"/>
      <c r="G100" s="11"/>
      <c r="H100" s="11"/>
      <c r="I100" s="11"/>
      <c r="J100" s="11"/>
      <c r="K100" s="11"/>
      <c r="L100" s="11"/>
      <c r="M100" s="12" t="str">
        <f aca="false">IF(A100="","",IF(AND(I100="Approved",J100&lt;&gt;"",K100&lt;&gt;""),"Ready","Not yet"))</f>
        <v/>
      </c>
    </row>
    <row r="101" customFormat="false" ht="15" hidden="false" customHeight="false" outlineLevel="0" collapsed="false">
      <c r="A101" s="11"/>
      <c r="B101" s="11"/>
      <c r="C101" s="11"/>
      <c r="D101" s="11"/>
      <c r="E101" s="11"/>
      <c r="F101" s="11"/>
      <c r="G101" s="11"/>
      <c r="H101" s="11"/>
      <c r="I101" s="11"/>
      <c r="J101" s="11"/>
      <c r="K101" s="11"/>
      <c r="L101" s="11"/>
      <c r="M101" s="12" t="str">
        <f aca="false">IF(A101="","",IF(AND(I101="Approved",J101&lt;&gt;"",K101&lt;&gt;""),"Ready","Not yet"))</f>
        <v/>
      </c>
    </row>
    <row r="102" customFormat="false" ht="15" hidden="false" customHeight="false" outlineLevel="0" collapsed="false">
      <c r="A102" s="11"/>
      <c r="B102" s="11"/>
      <c r="C102" s="11"/>
      <c r="D102" s="11"/>
      <c r="E102" s="11"/>
      <c r="F102" s="11"/>
      <c r="G102" s="11"/>
      <c r="H102" s="11"/>
      <c r="I102" s="11"/>
      <c r="J102" s="11"/>
      <c r="K102" s="11"/>
      <c r="L102" s="11"/>
      <c r="M102" s="12" t="str">
        <f aca="false">IF(A102="","",IF(AND(I102="Approved",J102&lt;&gt;"",K102&lt;&gt;""),"Ready","Not yet"))</f>
        <v/>
      </c>
    </row>
    <row r="103" customFormat="false" ht="15" hidden="false" customHeight="false" outlineLevel="0" collapsed="false">
      <c r="A103" s="11"/>
      <c r="B103" s="11"/>
      <c r="C103" s="11"/>
      <c r="D103" s="11"/>
      <c r="E103" s="11"/>
      <c r="F103" s="11"/>
      <c r="G103" s="11"/>
      <c r="H103" s="11"/>
      <c r="I103" s="11"/>
      <c r="J103" s="11"/>
      <c r="K103" s="11"/>
      <c r="L103" s="11"/>
      <c r="M103" s="12" t="str">
        <f aca="false">IF(A103="","",IF(AND(I103="Approved",J103&lt;&gt;"",K103&lt;&gt;""),"Ready","Not yet"))</f>
        <v/>
      </c>
    </row>
    <row r="104" customFormat="false" ht="15" hidden="false" customHeight="false" outlineLevel="0" collapsed="false">
      <c r="A104" s="11"/>
      <c r="B104" s="11"/>
      <c r="C104" s="11"/>
      <c r="D104" s="11"/>
      <c r="E104" s="11"/>
      <c r="F104" s="11"/>
      <c r="G104" s="11"/>
      <c r="H104" s="11"/>
      <c r="I104" s="11"/>
      <c r="J104" s="11"/>
      <c r="K104" s="11"/>
      <c r="L104" s="11"/>
      <c r="M104" s="12" t="str">
        <f aca="false">IF(A104="","",IF(AND(I104="Approved",J104&lt;&gt;"",K104&lt;&gt;""),"Ready","Not yet"))</f>
        <v/>
      </c>
    </row>
    <row r="105" customFormat="false" ht="15" hidden="false" customHeight="false" outlineLevel="0" collapsed="false">
      <c r="A105" s="11"/>
      <c r="B105" s="11"/>
      <c r="C105" s="11"/>
      <c r="D105" s="11"/>
      <c r="E105" s="11"/>
      <c r="F105" s="11"/>
      <c r="G105" s="11"/>
      <c r="H105" s="11"/>
      <c r="I105" s="11"/>
      <c r="J105" s="11"/>
      <c r="K105" s="11"/>
      <c r="L105" s="11"/>
      <c r="M105" s="12" t="str">
        <f aca="false">IF(A105="","",IF(AND(I105="Approved",J105&lt;&gt;"",K105&lt;&gt;""),"Ready","Not yet"))</f>
        <v/>
      </c>
    </row>
    <row r="106" customFormat="false" ht="15" hidden="false" customHeight="false" outlineLevel="0" collapsed="false">
      <c r="A106" s="11"/>
      <c r="B106" s="11"/>
      <c r="C106" s="11"/>
      <c r="D106" s="11"/>
      <c r="E106" s="11"/>
      <c r="F106" s="11"/>
      <c r="G106" s="11"/>
      <c r="H106" s="11"/>
      <c r="I106" s="11"/>
      <c r="J106" s="11"/>
      <c r="K106" s="11"/>
      <c r="L106" s="11"/>
      <c r="M106" s="12" t="str">
        <f aca="false">IF(A106="","",IF(AND(I106="Approved",J106&lt;&gt;"",K106&lt;&gt;""),"Ready","Not yet"))</f>
        <v/>
      </c>
    </row>
    <row r="107" customFormat="false" ht="15" hidden="false" customHeight="false" outlineLevel="0" collapsed="false">
      <c r="A107" s="11"/>
      <c r="B107" s="11"/>
      <c r="C107" s="11"/>
      <c r="D107" s="11"/>
      <c r="E107" s="11"/>
      <c r="F107" s="11"/>
      <c r="G107" s="11"/>
      <c r="H107" s="11"/>
      <c r="I107" s="11"/>
      <c r="J107" s="11"/>
      <c r="K107" s="11"/>
      <c r="L107" s="11"/>
      <c r="M107" s="12" t="str">
        <f aca="false">IF(A107="","",IF(AND(I107="Approved",J107&lt;&gt;"",K107&lt;&gt;""),"Ready","Not yet"))</f>
        <v/>
      </c>
    </row>
    <row r="108" customFormat="false" ht="15" hidden="false" customHeight="false" outlineLevel="0" collapsed="false">
      <c r="A108" s="11"/>
      <c r="B108" s="11"/>
      <c r="C108" s="11"/>
      <c r="D108" s="11"/>
      <c r="E108" s="11"/>
      <c r="F108" s="11"/>
      <c r="G108" s="11"/>
      <c r="H108" s="11"/>
      <c r="I108" s="11"/>
      <c r="J108" s="11"/>
      <c r="K108" s="11"/>
      <c r="L108" s="11"/>
      <c r="M108" s="12" t="str">
        <f aca="false">IF(A108="","",IF(AND(I108="Approved",J108&lt;&gt;"",K108&lt;&gt;""),"Ready","Not yet"))</f>
        <v/>
      </c>
    </row>
    <row r="109" customFormat="false" ht="15" hidden="false" customHeight="false" outlineLevel="0" collapsed="false">
      <c r="A109" s="11"/>
      <c r="B109" s="11"/>
      <c r="C109" s="11"/>
      <c r="D109" s="11"/>
      <c r="E109" s="11"/>
      <c r="F109" s="11"/>
      <c r="G109" s="11"/>
      <c r="H109" s="11"/>
      <c r="I109" s="11"/>
      <c r="J109" s="11"/>
      <c r="K109" s="11"/>
      <c r="L109" s="11"/>
      <c r="M109" s="12" t="str">
        <f aca="false">IF(A109="","",IF(AND(I109="Approved",J109&lt;&gt;"",K109&lt;&gt;""),"Ready","Not yet"))</f>
        <v/>
      </c>
    </row>
    <row r="110" customFormat="false" ht="15" hidden="false" customHeight="false" outlineLevel="0" collapsed="false">
      <c r="A110" s="11"/>
      <c r="B110" s="11"/>
      <c r="C110" s="11"/>
      <c r="D110" s="11"/>
      <c r="E110" s="11"/>
      <c r="F110" s="11"/>
      <c r="G110" s="11"/>
      <c r="H110" s="11"/>
      <c r="I110" s="11"/>
      <c r="J110" s="11"/>
      <c r="K110" s="11"/>
      <c r="L110" s="11"/>
      <c r="M110" s="12" t="str">
        <f aca="false">IF(A110="","",IF(AND(I110="Approved",J110&lt;&gt;"",K110&lt;&gt;""),"Ready","Not yet"))</f>
        <v/>
      </c>
    </row>
    <row r="111" customFormat="false" ht="15" hidden="false" customHeight="false" outlineLevel="0" collapsed="false">
      <c r="A111" s="11"/>
      <c r="B111" s="11"/>
      <c r="C111" s="11"/>
      <c r="D111" s="11"/>
      <c r="E111" s="11"/>
      <c r="F111" s="11"/>
      <c r="G111" s="11"/>
      <c r="H111" s="11"/>
      <c r="I111" s="11"/>
      <c r="J111" s="11"/>
      <c r="K111" s="11"/>
      <c r="L111" s="11"/>
      <c r="M111" s="12" t="str">
        <f aca="false">IF(A111="","",IF(AND(I111="Approved",J111&lt;&gt;"",K111&lt;&gt;""),"Ready","Not yet"))</f>
        <v/>
      </c>
    </row>
    <row r="112" customFormat="false" ht="15" hidden="false" customHeight="false" outlineLevel="0" collapsed="false">
      <c r="A112" s="11"/>
      <c r="B112" s="11"/>
      <c r="C112" s="11"/>
      <c r="D112" s="11"/>
      <c r="E112" s="11"/>
      <c r="F112" s="11"/>
      <c r="G112" s="11"/>
      <c r="H112" s="11"/>
      <c r="I112" s="11"/>
      <c r="J112" s="11"/>
      <c r="K112" s="11"/>
      <c r="L112" s="11"/>
      <c r="M112" s="12" t="str">
        <f aca="false">IF(A112="","",IF(AND(I112="Approved",J112&lt;&gt;"",K112&lt;&gt;""),"Ready","Not yet"))</f>
        <v/>
      </c>
    </row>
    <row r="113" customFormat="false" ht="15" hidden="false" customHeight="false" outlineLevel="0" collapsed="false">
      <c r="A113" s="11"/>
      <c r="B113" s="11"/>
      <c r="C113" s="11"/>
      <c r="D113" s="11"/>
      <c r="E113" s="11"/>
      <c r="F113" s="11"/>
      <c r="G113" s="11"/>
      <c r="H113" s="11"/>
      <c r="I113" s="11"/>
      <c r="J113" s="11"/>
      <c r="K113" s="11"/>
      <c r="L113" s="11"/>
      <c r="M113" s="12" t="str">
        <f aca="false">IF(A113="","",IF(AND(I113="Approved",J113&lt;&gt;"",K113&lt;&gt;""),"Ready","Not yet"))</f>
        <v/>
      </c>
    </row>
    <row r="114" customFormat="false" ht="15" hidden="false" customHeight="false" outlineLevel="0" collapsed="false">
      <c r="A114" s="11"/>
      <c r="B114" s="11"/>
      <c r="C114" s="11"/>
      <c r="D114" s="11"/>
      <c r="E114" s="11"/>
      <c r="F114" s="11"/>
      <c r="G114" s="11"/>
      <c r="H114" s="11"/>
      <c r="I114" s="11"/>
      <c r="J114" s="11"/>
      <c r="K114" s="11"/>
      <c r="L114" s="11"/>
      <c r="M114" s="12" t="str">
        <f aca="false">IF(A114="","",IF(AND(I114="Approved",J114&lt;&gt;"",K114&lt;&gt;""),"Ready","Not yet"))</f>
        <v/>
      </c>
    </row>
    <row r="115" customFormat="false" ht="15" hidden="false" customHeight="false" outlineLevel="0" collapsed="false">
      <c r="A115" s="11"/>
      <c r="B115" s="11"/>
      <c r="C115" s="11"/>
      <c r="D115" s="11"/>
      <c r="E115" s="11"/>
      <c r="F115" s="11"/>
      <c r="G115" s="11"/>
      <c r="H115" s="11"/>
      <c r="I115" s="11"/>
      <c r="J115" s="11"/>
      <c r="K115" s="11"/>
      <c r="L115" s="11"/>
      <c r="M115" s="12" t="str">
        <f aca="false">IF(A115="","",IF(AND(I115="Approved",J115&lt;&gt;"",K115&lt;&gt;""),"Ready","Not yet"))</f>
        <v/>
      </c>
    </row>
    <row r="116" customFormat="false" ht="15" hidden="false" customHeight="false" outlineLevel="0" collapsed="false">
      <c r="A116" s="11"/>
      <c r="B116" s="11"/>
      <c r="C116" s="11"/>
      <c r="D116" s="11"/>
      <c r="E116" s="11"/>
      <c r="F116" s="11"/>
      <c r="G116" s="11"/>
      <c r="H116" s="11"/>
      <c r="I116" s="11"/>
      <c r="J116" s="11"/>
      <c r="K116" s="11"/>
      <c r="L116" s="11"/>
      <c r="M116" s="12" t="str">
        <f aca="false">IF(A116="","",IF(AND(I116="Approved",J116&lt;&gt;"",K116&lt;&gt;""),"Ready","Not yet"))</f>
        <v/>
      </c>
    </row>
    <row r="117" customFormat="false" ht="15" hidden="false" customHeight="false" outlineLevel="0" collapsed="false">
      <c r="A117" s="11"/>
      <c r="B117" s="11"/>
      <c r="C117" s="11"/>
      <c r="D117" s="11"/>
      <c r="E117" s="11"/>
      <c r="F117" s="11"/>
      <c r="G117" s="11"/>
      <c r="H117" s="11"/>
      <c r="I117" s="11"/>
      <c r="J117" s="11"/>
      <c r="K117" s="11"/>
      <c r="L117" s="11"/>
      <c r="M117" s="12" t="str">
        <f aca="false">IF(A117="","",IF(AND(I117="Approved",J117&lt;&gt;"",K117&lt;&gt;""),"Ready","Not yet"))</f>
        <v/>
      </c>
    </row>
    <row r="118" customFormat="false" ht="15" hidden="false" customHeight="false" outlineLevel="0" collapsed="false">
      <c r="A118" s="11"/>
      <c r="B118" s="11"/>
      <c r="C118" s="11"/>
      <c r="D118" s="11"/>
      <c r="E118" s="11"/>
      <c r="F118" s="11"/>
      <c r="G118" s="11"/>
      <c r="H118" s="11"/>
      <c r="I118" s="11"/>
      <c r="J118" s="11"/>
      <c r="K118" s="11"/>
      <c r="L118" s="11"/>
      <c r="M118" s="12" t="str">
        <f aca="false">IF(A118="","",IF(AND(I118="Approved",J118&lt;&gt;"",K118&lt;&gt;""),"Ready","Not yet"))</f>
        <v/>
      </c>
    </row>
    <row r="119" customFormat="false" ht="15" hidden="false" customHeight="false" outlineLevel="0" collapsed="false">
      <c r="A119" s="11"/>
      <c r="B119" s="11"/>
      <c r="C119" s="11"/>
      <c r="D119" s="11"/>
      <c r="E119" s="11"/>
      <c r="F119" s="11"/>
      <c r="G119" s="11"/>
      <c r="H119" s="11"/>
      <c r="I119" s="11"/>
      <c r="J119" s="11"/>
      <c r="K119" s="11"/>
      <c r="L119" s="11"/>
      <c r="M119" s="12" t="str">
        <f aca="false">IF(A119="","",IF(AND(I119="Approved",J119&lt;&gt;"",K119&lt;&gt;""),"Ready","Not yet"))</f>
        <v/>
      </c>
    </row>
    <row r="120" customFormat="false" ht="15" hidden="false" customHeight="false" outlineLevel="0" collapsed="false">
      <c r="A120" s="11"/>
      <c r="B120" s="11"/>
      <c r="C120" s="11"/>
      <c r="D120" s="11"/>
      <c r="E120" s="11"/>
      <c r="F120" s="11"/>
      <c r="G120" s="11"/>
      <c r="H120" s="11"/>
      <c r="I120" s="11"/>
      <c r="J120" s="11"/>
      <c r="K120" s="11"/>
      <c r="L120" s="11"/>
      <c r="M120" s="12" t="str">
        <f aca="false">IF(A120="","",IF(AND(I120="Approved",J120&lt;&gt;"",K120&lt;&gt;""),"Ready","Not yet"))</f>
        <v/>
      </c>
    </row>
    <row r="121" customFormat="false" ht="15" hidden="false" customHeight="false" outlineLevel="0" collapsed="false">
      <c r="A121" s="11"/>
      <c r="B121" s="11"/>
      <c r="C121" s="11"/>
      <c r="D121" s="11"/>
      <c r="E121" s="11"/>
      <c r="F121" s="11"/>
      <c r="G121" s="11"/>
      <c r="H121" s="11"/>
      <c r="I121" s="11"/>
      <c r="J121" s="11"/>
      <c r="K121" s="11"/>
      <c r="L121" s="11"/>
      <c r="M121" s="12" t="str">
        <f aca="false">IF(A121="","",IF(AND(I121="Approved",J121&lt;&gt;"",K121&lt;&gt;""),"Ready","Not yet"))</f>
        <v/>
      </c>
    </row>
    <row r="122" customFormat="false" ht="15" hidden="false" customHeight="false" outlineLevel="0" collapsed="false">
      <c r="A122" s="11"/>
      <c r="B122" s="11"/>
      <c r="C122" s="11"/>
      <c r="D122" s="11"/>
      <c r="E122" s="11"/>
      <c r="F122" s="11"/>
      <c r="G122" s="11"/>
      <c r="H122" s="11"/>
      <c r="I122" s="11"/>
      <c r="J122" s="11"/>
      <c r="K122" s="11"/>
      <c r="L122" s="11"/>
      <c r="M122" s="12" t="str">
        <f aca="false">IF(A122="","",IF(AND(I122="Approved",J122&lt;&gt;"",K122&lt;&gt;""),"Ready","Not yet"))</f>
        <v/>
      </c>
    </row>
    <row r="123" customFormat="false" ht="15" hidden="false" customHeight="false" outlineLevel="0" collapsed="false">
      <c r="A123" s="11"/>
      <c r="B123" s="11"/>
      <c r="C123" s="11"/>
      <c r="D123" s="11"/>
      <c r="E123" s="11"/>
      <c r="F123" s="11"/>
      <c r="G123" s="11"/>
      <c r="H123" s="11"/>
      <c r="I123" s="11"/>
      <c r="J123" s="11"/>
      <c r="K123" s="11"/>
      <c r="L123" s="11"/>
      <c r="M123" s="12" t="str">
        <f aca="false">IF(A123="","",IF(AND(I123="Approved",J123&lt;&gt;"",K123&lt;&gt;""),"Ready","Not yet"))</f>
        <v/>
      </c>
    </row>
    <row r="124" customFormat="false" ht="15" hidden="false" customHeight="false" outlineLevel="0" collapsed="false">
      <c r="A124" s="11"/>
      <c r="B124" s="11"/>
      <c r="C124" s="11"/>
      <c r="D124" s="11"/>
      <c r="E124" s="11"/>
      <c r="F124" s="11"/>
      <c r="G124" s="11"/>
      <c r="H124" s="11"/>
      <c r="I124" s="11"/>
      <c r="J124" s="11"/>
      <c r="K124" s="11"/>
      <c r="L124" s="11"/>
      <c r="M124" s="12" t="str">
        <f aca="false">IF(A124="","",IF(AND(I124="Approved",J124&lt;&gt;"",K124&lt;&gt;""),"Ready","Not yet"))</f>
        <v/>
      </c>
    </row>
    <row r="125" customFormat="false" ht="15" hidden="false" customHeight="false" outlineLevel="0" collapsed="false">
      <c r="A125" s="11"/>
      <c r="B125" s="11"/>
      <c r="C125" s="11"/>
      <c r="D125" s="11"/>
      <c r="E125" s="11"/>
      <c r="F125" s="11"/>
      <c r="G125" s="11"/>
      <c r="H125" s="11"/>
      <c r="I125" s="11"/>
      <c r="J125" s="11"/>
      <c r="K125" s="11"/>
      <c r="L125" s="11"/>
      <c r="M125" s="12" t="str">
        <f aca="false">IF(A125="","",IF(AND(I125="Approved",J125&lt;&gt;"",K125&lt;&gt;""),"Ready","Not yet"))</f>
        <v/>
      </c>
    </row>
    <row r="126" customFormat="false" ht="15" hidden="false" customHeight="false" outlineLevel="0" collapsed="false">
      <c r="A126" s="11"/>
      <c r="B126" s="11"/>
      <c r="C126" s="11"/>
      <c r="D126" s="11"/>
      <c r="E126" s="11"/>
      <c r="F126" s="11"/>
      <c r="G126" s="11"/>
      <c r="H126" s="11"/>
      <c r="I126" s="11"/>
      <c r="J126" s="11"/>
      <c r="K126" s="11"/>
      <c r="L126" s="11"/>
      <c r="M126" s="12" t="str">
        <f aca="false">IF(A126="","",IF(AND(I126="Approved",J126&lt;&gt;"",K126&lt;&gt;""),"Ready","Not yet"))</f>
        <v/>
      </c>
    </row>
    <row r="127" customFormat="false" ht="15" hidden="false" customHeight="false" outlineLevel="0" collapsed="false">
      <c r="A127" s="11"/>
      <c r="B127" s="11"/>
      <c r="C127" s="11"/>
      <c r="D127" s="11"/>
      <c r="E127" s="11"/>
      <c r="F127" s="11"/>
      <c r="G127" s="11"/>
      <c r="H127" s="11"/>
      <c r="I127" s="11"/>
      <c r="J127" s="11"/>
      <c r="K127" s="11"/>
      <c r="L127" s="11"/>
      <c r="M127" s="12" t="str">
        <f aca="false">IF(A127="","",IF(AND(I127="Approved",J127&lt;&gt;"",K127&lt;&gt;""),"Ready","Not yet"))</f>
        <v/>
      </c>
    </row>
    <row r="128" customFormat="false" ht="15" hidden="false" customHeight="false" outlineLevel="0" collapsed="false">
      <c r="A128" s="11"/>
      <c r="B128" s="11"/>
      <c r="C128" s="11"/>
      <c r="D128" s="11"/>
      <c r="E128" s="11"/>
      <c r="F128" s="11"/>
      <c r="G128" s="11"/>
      <c r="H128" s="11"/>
      <c r="I128" s="11"/>
      <c r="J128" s="11"/>
      <c r="K128" s="11"/>
      <c r="L128" s="11"/>
      <c r="M128" s="12" t="str">
        <f aca="false">IF(A128="","",IF(AND(I128="Approved",J128&lt;&gt;"",K128&lt;&gt;""),"Ready","Not yet"))</f>
        <v/>
      </c>
    </row>
    <row r="129" customFormat="false" ht="15" hidden="false" customHeight="false" outlineLevel="0" collapsed="false">
      <c r="A129" s="11"/>
      <c r="B129" s="11"/>
      <c r="C129" s="11"/>
      <c r="D129" s="11"/>
      <c r="E129" s="11"/>
      <c r="F129" s="11"/>
      <c r="G129" s="11"/>
      <c r="H129" s="11"/>
      <c r="I129" s="11"/>
      <c r="J129" s="11"/>
      <c r="K129" s="11"/>
      <c r="L129" s="11"/>
      <c r="M129" s="12" t="str">
        <f aca="false">IF(A129="","",IF(AND(I129="Approved",J129&lt;&gt;"",K129&lt;&gt;""),"Ready","Not yet"))</f>
        <v/>
      </c>
    </row>
    <row r="130" customFormat="false" ht="15" hidden="false" customHeight="false" outlineLevel="0" collapsed="false">
      <c r="A130" s="11"/>
      <c r="B130" s="11"/>
      <c r="C130" s="11"/>
      <c r="D130" s="11"/>
      <c r="E130" s="11"/>
      <c r="F130" s="11"/>
      <c r="G130" s="11"/>
      <c r="H130" s="11"/>
      <c r="I130" s="11"/>
      <c r="J130" s="11"/>
      <c r="K130" s="11"/>
      <c r="L130" s="11"/>
      <c r="M130" s="12" t="str">
        <f aca="false">IF(A130="","",IF(AND(I130="Approved",J130&lt;&gt;"",K130&lt;&gt;""),"Ready","Not yet"))</f>
        <v/>
      </c>
    </row>
    <row r="131" customFormat="false" ht="15" hidden="false" customHeight="false" outlineLevel="0" collapsed="false">
      <c r="A131" s="11"/>
      <c r="B131" s="11"/>
      <c r="C131" s="11"/>
      <c r="D131" s="11"/>
      <c r="E131" s="11"/>
      <c r="F131" s="11"/>
      <c r="G131" s="11"/>
      <c r="H131" s="11"/>
      <c r="I131" s="11"/>
      <c r="J131" s="11"/>
      <c r="K131" s="11"/>
      <c r="L131" s="11"/>
      <c r="M131" s="12" t="str">
        <f aca="false">IF(A131="","",IF(AND(I131="Approved",J131&lt;&gt;"",K131&lt;&gt;""),"Ready","Not yet"))</f>
        <v/>
      </c>
    </row>
    <row r="132" customFormat="false" ht="15" hidden="false" customHeight="false" outlineLevel="0" collapsed="false">
      <c r="A132" s="11"/>
      <c r="B132" s="11"/>
      <c r="C132" s="11"/>
      <c r="D132" s="11"/>
      <c r="E132" s="11"/>
      <c r="F132" s="11"/>
      <c r="G132" s="11"/>
      <c r="H132" s="11"/>
      <c r="I132" s="11"/>
      <c r="J132" s="11"/>
      <c r="K132" s="11"/>
      <c r="L132" s="11"/>
      <c r="M132" s="12" t="str">
        <f aca="false">IF(A132="","",IF(AND(I132="Approved",J132&lt;&gt;"",K132&lt;&gt;""),"Ready","Not yet"))</f>
        <v/>
      </c>
    </row>
    <row r="133" customFormat="false" ht="15" hidden="false" customHeight="false" outlineLevel="0" collapsed="false">
      <c r="A133" s="11"/>
      <c r="B133" s="11"/>
      <c r="C133" s="11"/>
      <c r="D133" s="11"/>
      <c r="E133" s="11"/>
      <c r="F133" s="11"/>
      <c r="G133" s="11"/>
      <c r="H133" s="11"/>
      <c r="I133" s="11"/>
      <c r="J133" s="11"/>
      <c r="K133" s="11"/>
      <c r="L133" s="11"/>
      <c r="M133" s="12" t="str">
        <f aca="false">IF(A133="","",IF(AND(I133="Approved",J133&lt;&gt;"",K133&lt;&gt;""),"Ready","Not yet"))</f>
        <v/>
      </c>
    </row>
    <row r="134" customFormat="false" ht="15" hidden="false" customHeight="false" outlineLevel="0" collapsed="false">
      <c r="A134" s="11"/>
      <c r="B134" s="11"/>
      <c r="C134" s="11"/>
      <c r="D134" s="11"/>
      <c r="E134" s="11"/>
      <c r="F134" s="11"/>
      <c r="G134" s="11"/>
      <c r="H134" s="11"/>
      <c r="I134" s="11"/>
      <c r="J134" s="11"/>
      <c r="K134" s="11"/>
      <c r="L134" s="11"/>
      <c r="M134" s="12" t="str">
        <f aca="false">IF(A134="","",IF(AND(I134="Approved",J134&lt;&gt;"",K134&lt;&gt;""),"Ready","Not yet"))</f>
        <v/>
      </c>
    </row>
    <row r="135" customFormat="false" ht="15" hidden="false" customHeight="false" outlineLevel="0" collapsed="false">
      <c r="A135" s="11"/>
      <c r="B135" s="11"/>
      <c r="C135" s="11"/>
      <c r="D135" s="11"/>
      <c r="E135" s="11"/>
      <c r="F135" s="11"/>
      <c r="G135" s="11"/>
      <c r="H135" s="11"/>
      <c r="I135" s="11"/>
      <c r="J135" s="11"/>
      <c r="K135" s="11"/>
      <c r="L135" s="11"/>
      <c r="M135" s="12" t="str">
        <f aca="false">IF(A135="","",IF(AND(I135="Approved",J135&lt;&gt;"",K135&lt;&gt;""),"Ready","Not yet"))</f>
        <v/>
      </c>
    </row>
    <row r="136" customFormat="false" ht="15" hidden="false" customHeight="false" outlineLevel="0" collapsed="false">
      <c r="A136" s="11"/>
      <c r="B136" s="11"/>
      <c r="C136" s="11"/>
      <c r="D136" s="11"/>
      <c r="E136" s="11"/>
      <c r="F136" s="11"/>
      <c r="G136" s="11"/>
      <c r="H136" s="11"/>
      <c r="I136" s="11"/>
      <c r="J136" s="11"/>
      <c r="K136" s="11"/>
      <c r="L136" s="11"/>
      <c r="M136" s="12" t="str">
        <f aca="false">IF(A136="","",IF(AND(I136="Approved",J136&lt;&gt;"",K136&lt;&gt;""),"Ready","Not yet"))</f>
        <v/>
      </c>
    </row>
    <row r="137" customFormat="false" ht="15" hidden="false" customHeight="false" outlineLevel="0" collapsed="false">
      <c r="A137" s="11"/>
      <c r="B137" s="11"/>
      <c r="C137" s="11"/>
      <c r="D137" s="11"/>
      <c r="E137" s="11"/>
      <c r="F137" s="11"/>
      <c r="G137" s="11"/>
      <c r="H137" s="11"/>
      <c r="I137" s="11"/>
      <c r="J137" s="11"/>
      <c r="K137" s="11"/>
      <c r="L137" s="11"/>
      <c r="M137" s="12" t="str">
        <f aca="false">IF(A137="","",IF(AND(I137="Approved",J137&lt;&gt;"",K137&lt;&gt;""),"Ready","Not yet"))</f>
        <v/>
      </c>
    </row>
    <row r="138" customFormat="false" ht="15" hidden="false" customHeight="false" outlineLevel="0" collapsed="false">
      <c r="A138" s="11"/>
      <c r="B138" s="11"/>
      <c r="C138" s="11"/>
      <c r="D138" s="11"/>
      <c r="E138" s="11"/>
      <c r="F138" s="11"/>
      <c r="G138" s="11"/>
      <c r="H138" s="11"/>
      <c r="I138" s="11"/>
      <c r="J138" s="11"/>
      <c r="K138" s="11"/>
      <c r="L138" s="11"/>
      <c r="M138" s="12" t="str">
        <f aca="false">IF(A138="","",IF(AND(I138="Approved",J138&lt;&gt;"",K138&lt;&gt;""),"Ready","Not yet"))</f>
        <v/>
      </c>
    </row>
    <row r="139" customFormat="false" ht="15" hidden="false" customHeight="false" outlineLevel="0" collapsed="false">
      <c r="A139" s="11"/>
      <c r="B139" s="11"/>
      <c r="C139" s="11"/>
      <c r="D139" s="11"/>
      <c r="E139" s="11"/>
      <c r="F139" s="11"/>
      <c r="G139" s="11"/>
      <c r="H139" s="11"/>
      <c r="I139" s="11"/>
      <c r="J139" s="11"/>
      <c r="K139" s="11"/>
      <c r="L139" s="11"/>
      <c r="M139" s="12" t="str">
        <f aca="false">IF(A139="","",IF(AND(I139="Approved",J139&lt;&gt;"",K139&lt;&gt;""),"Ready","Not yet"))</f>
        <v/>
      </c>
    </row>
    <row r="140" customFormat="false" ht="15" hidden="false" customHeight="false" outlineLevel="0" collapsed="false">
      <c r="A140" s="11"/>
      <c r="B140" s="11"/>
      <c r="C140" s="11"/>
      <c r="D140" s="11"/>
      <c r="E140" s="11"/>
      <c r="F140" s="11"/>
      <c r="G140" s="11"/>
      <c r="H140" s="11"/>
      <c r="I140" s="11"/>
      <c r="J140" s="11"/>
      <c r="K140" s="11"/>
      <c r="L140" s="11"/>
      <c r="M140" s="12" t="str">
        <f aca="false">IF(A140="","",IF(AND(I140="Approved",J140&lt;&gt;"",K140&lt;&gt;""),"Ready","Not yet"))</f>
        <v/>
      </c>
    </row>
    <row r="141" customFormat="false" ht="15" hidden="false" customHeight="false" outlineLevel="0" collapsed="false">
      <c r="A141" s="11"/>
      <c r="B141" s="11"/>
      <c r="C141" s="11"/>
      <c r="D141" s="11"/>
      <c r="E141" s="11"/>
      <c r="F141" s="11"/>
      <c r="G141" s="11"/>
      <c r="H141" s="11"/>
      <c r="I141" s="11"/>
      <c r="J141" s="11"/>
      <c r="K141" s="11"/>
      <c r="L141" s="11"/>
      <c r="M141" s="12" t="str">
        <f aca="false">IF(A141="","",IF(AND(I141="Approved",J141&lt;&gt;"",K141&lt;&gt;""),"Ready","Not yet"))</f>
        <v/>
      </c>
    </row>
    <row r="142" customFormat="false" ht="15" hidden="false" customHeight="false" outlineLevel="0" collapsed="false">
      <c r="A142" s="11"/>
      <c r="B142" s="11"/>
      <c r="C142" s="11"/>
      <c r="D142" s="11"/>
      <c r="E142" s="11"/>
      <c r="F142" s="11"/>
      <c r="G142" s="11"/>
      <c r="H142" s="11"/>
      <c r="I142" s="11"/>
      <c r="J142" s="11"/>
      <c r="K142" s="11"/>
      <c r="L142" s="11"/>
      <c r="M142" s="12" t="str">
        <f aca="false">IF(A142="","",IF(AND(I142="Approved",J142&lt;&gt;"",K142&lt;&gt;""),"Ready","Not yet"))</f>
        <v/>
      </c>
    </row>
    <row r="143" customFormat="false" ht="15" hidden="false" customHeight="false" outlineLevel="0" collapsed="false">
      <c r="A143" s="11"/>
      <c r="B143" s="11"/>
      <c r="C143" s="11"/>
      <c r="D143" s="11"/>
      <c r="E143" s="11"/>
      <c r="F143" s="11"/>
      <c r="G143" s="11"/>
      <c r="H143" s="11"/>
      <c r="I143" s="11"/>
      <c r="J143" s="11"/>
      <c r="K143" s="11"/>
      <c r="L143" s="11"/>
      <c r="M143" s="12" t="str">
        <f aca="false">IF(A143="","",IF(AND(I143="Approved",J143&lt;&gt;"",K143&lt;&gt;""),"Ready","Not yet"))</f>
        <v/>
      </c>
    </row>
    <row r="144" customFormat="false" ht="15" hidden="false" customHeight="false" outlineLevel="0" collapsed="false">
      <c r="A144" s="11"/>
      <c r="B144" s="11"/>
      <c r="C144" s="11"/>
      <c r="D144" s="11"/>
      <c r="E144" s="11"/>
      <c r="F144" s="11"/>
      <c r="G144" s="11"/>
      <c r="H144" s="11"/>
      <c r="I144" s="11"/>
      <c r="J144" s="11"/>
      <c r="K144" s="11"/>
      <c r="L144" s="11"/>
      <c r="M144" s="12" t="str">
        <f aca="false">IF(A144="","",IF(AND(I144="Approved",J144&lt;&gt;"",K144&lt;&gt;""),"Ready","Not yet"))</f>
        <v/>
      </c>
    </row>
    <row r="145" customFormat="false" ht="15" hidden="false" customHeight="false" outlineLevel="0" collapsed="false">
      <c r="A145" s="11"/>
      <c r="B145" s="11"/>
      <c r="C145" s="11"/>
      <c r="D145" s="11"/>
      <c r="E145" s="11"/>
      <c r="F145" s="11"/>
      <c r="G145" s="11"/>
      <c r="H145" s="11"/>
      <c r="I145" s="11"/>
      <c r="J145" s="11"/>
      <c r="K145" s="11"/>
      <c r="L145" s="11"/>
      <c r="M145" s="12" t="str">
        <f aca="false">IF(A145="","",IF(AND(I145="Approved",J145&lt;&gt;"",K145&lt;&gt;""),"Ready","Not yet"))</f>
        <v/>
      </c>
    </row>
    <row r="146" customFormat="false" ht="15" hidden="false" customHeight="false" outlineLevel="0" collapsed="false">
      <c r="A146" s="11"/>
      <c r="B146" s="11"/>
      <c r="C146" s="11"/>
      <c r="D146" s="11"/>
      <c r="E146" s="11"/>
      <c r="F146" s="11"/>
      <c r="G146" s="11"/>
      <c r="H146" s="11"/>
      <c r="I146" s="11"/>
      <c r="J146" s="11"/>
      <c r="K146" s="11"/>
      <c r="L146" s="11"/>
      <c r="M146" s="12" t="str">
        <f aca="false">IF(A146="","",IF(AND(I146="Approved",J146&lt;&gt;"",K146&lt;&gt;""),"Ready","Not yet"))</f>
        <v/>
      </c>
    </row>
    <row r="147" customFormat="false" ht="15" hidden="false" customHeight="false" outlineLevel="0" collapsed="false">
      <c r="A147" s="11"/>
      <c r="B147" s="11"/>
      <c r="C147" s="11"/>
      <c r="D147" s="11"/>
      <c r="E147" s="11"/>
      <c r="F147" s="11"/>
      <c r="G147" s="11"/>
      <c r="H147" s="11"/>
      <c r="I147" s="11"/>
      <c r="J147" s="11"/>
      <c r="K147" s="11"/>
      <c r="L147" s="11"/>
      <c r="M147" s="12" t="str">
        <f aca="false">IF(A147="","",IF(AND(I147="Approved",J147&lt;&gt;"",K147&lt;&gt;""),"Ready","Not yet"))</f>
        <v/>
      </c>
    </row>
    <row r="148" customFormat="false" ht="15" hidden="false" customHeight="false" outlineLevel="0" collapsed="false">
      <c r="A148" s="11"/>
      <c r="B148" s="11"/>
      <c r="C148" s="11"/>
      <c r="D148" s="11"/>
      <c r="E148" s="11"/>
      <c r="F148" s="11"/>
      <c r="G148" s="11"/>
      <c r="H148" s="11"/>
      <c r="I148" s="11"/>
      <c r="J148" s="11"/>
      <c r="K148" s="11"/>
      <c r="L148" s="11"/>
      <c r="M148" s="12" t="str">
        <f aca="false">IF(A148="","",IF(AND(I148="Approved",J148&lt;&gt;"",K148&lt;&gt;""),"Ready","Not yet"))</f>
        <v/>
      </c>
    </row>
    <row r="149" customFormat="false" ht="15" hidden="false" customHeight="false" outlineLevel="0" collapsed="false">
      <c r="A149" s="11"/>
      <c r="B149" s="11"/>
      <c r="C149" s="11"/>
      <c r="D149" s="11"/>
      <c r="E149" s="11"/>
      <c r="F149" s="11"/>
      <c r="G149" s="11"/>
      <c r="H149" s="11"/>
      <c r="I149" s="11"/>
      <c r="J149" s="11"/>
      <c r="K149" s="11"/>
      <c r="L149" s="11"/>
      <c r="M149" s="12" t="str">
        <f aca="false">IF(A149="","",IF(AND(I149="Approved",J149&lt;&gt;"",K149&lt;&gt;""),"Ready","Not yet"))</f>
        <v/>
      </c>
    </row>
    <row r="150" customFormat="false" ht="15" hidden="false" customHeight="false" outlineLevel="0" collapsed="false">
      <c r="A150" s="11"/>
      <c r="B150" s="11"/>
      <c r="C150" s="11"/>
      <c r="D150" s="11"/>
      <c r="E150" s="11"/>
      <c r="F150" s="11"/>
      <c r="G150" s="11"/>
      <c r="H150" s="11"/>
      <c r="I150" s="11"/>
      <c r="J150" s="11"/>
      <c r="K150" s="11"/>
      <c r="L150" s="11"/>
      <c r="M150" s="12" t="str">
        <f aca="false">IF(A150="","",IF(AND(I150="Approved",J150&lt;&gt;"",K150&lt;&gt;""),"Ready","Not yet"))</f>
        <v/>
      </c>
    </row>
    <row r="151" customFormat="false" ht="15" hidden="false" customHeight="false" outlineLevel="0" collapsed="false">
      <c r="A151" s="11"/>
      <c r="B151" s="11"/>
      <c r="C151" s="11"/>
      <c r="D151" s="11"/>
      <c r="E151" s="11"/>
      <c r="F151" s="11"/>
      <c r="G151" s="11"/>
      <c r="H151" s="11"/>
      <c r="I151" s="11"/>
      <c r="J151" s="11"/>
      <c r="K151" s="11"/>
      <c r="L151" s="11"/>
      <c r="M151" s="12" t="str">
        <f aca="false">IF(A151="","",IF(AND(I151="Approved",J151&lt;&gt;"",K151&lt;&gt;""),"Ready","Not yet"))</f>
        <v/>
      </c>
    </row>
    <row r="152" customFormat="false" ht="15" hidden="false" customHeight="false" outlineLevel="0" collapsed="false">
      <c r="A152" s="11"/>
      <c r="B152" s="11"/>
      <c r="C152" s="11"/>
      <c r="D152" s="11"/>
      <c r="E152" s="11"/>
      <c r="F152" s="11"/>
      <c r="G152" s="11"/>
      <c r="H152" s="11"/>
      <c r="I152" s="11"/>
      <c r="J152" s="11"/>
      <c r="K152" s="11"/>
      <c r="L152" s="11"/>
      <c r="M152" s="12" t="str">
        <f aca="false">IF(A152="","",IF(AND(I152="Approved",J152&lt;&gt;"",K152&lt;&gt;""),"Ready","Not yet"))</f>
        <v/>
      </c>
    </row>
    <row r="153" customFormat="false" ht="15" hidden="false" customHeight="false" outlineLevel="0" collapsed="false">
      <c r="A153" s="11"/>
      <c r="B153" s="11"/>
      <c r="C153" s="11"/>
      <c r="D153" s="11"/>
      <c r="E153" s="11"/>
      <c r="F153" s="11"/>
      <c r="G153" s="11"/>
      <c r="H153" s="11"/>
      <c r="I153" s="11"/>
      <c r="J153" s="11"/>
      <c r="K153" s="11"/>
      <c r="L153" s="11"/>
      <c r="M153" s="12" t="str">
        <f aca="false">IF(A153="","",IF(AND(I153="Approved",J153&lt;&gt;"",K153&lt;&gt;""),"Ready","Not yet"))</f>
        <v/>
      </c>
    </row>
    <row r="154" customFormat="false" ht="15" hidden="false" customHeight="false" outlineLevel="0" collapsed="false">
      <c r="A154" s="11"/>
      <c r="B154" s="11"/>
      <c r="C154" s="11"/>
      <c r="D154" s="11"/>
      <c r="E154" s="11"/>
      <c r="F154" s="11"/>
      <c r="G154" s="11"/>
      <c r="H154" s="11"/>
      <c r="I154" s="11"/>
      <c r="J154" s="11"/>
      <c r="K154" s="11"/>
      <c r="L154" s="11"/>
      <c r="M154" s="12" t="str">
        <f aca="false">IF(A154="","",IF(AND(I154="Approved",J154&lt;&gt;"",K154&lt;&gt;""),"Ready","Not yet"))</f>
        <v/>
      </c>
    </row>
    <row r="155" customFormat="false" ht="15" hidden="false" customHeight="false" outlineLevel="0" collapsed="false">
      <c r="A155" s="11"/>
      <c r="B155" s="11"/>
      <c r="C155" s="11"/>
      <c r="D155" s="11"/>
      <c r="E155" s="11"/>
      <c r="F155" s="11"/>
      <c r="G155" s="11"/>
      <c r="H155" s="11"/>
      <c r="I155" s="11"/>
      <c r="J155" s="11"/>
      <c r="K155" s="11"/>
      <c r="L155" s="11"/>
      <c r="M155" s="12" t="str">
        <f aca="false">IF(A155="","",IF(AND(I155="Approved",J155&lt;&gt;"",K155&lt;&gt;""),"Ready","Not yet"))</f>
        <v/>
      </c>
    </row>
    <row r="156" customFormat="false" ht="15" hidden="false" customHeight="false" outlineLevel="0" collapsed="false">
      <c r="A156" s="11"/>
      <c r="B156" s="11"/>
      <c r="C156" s="11"/>
      <c r="D156" s="11"/>
      <c r="E156" s="11"/>
      <c r="F156" s="11"/>
      <c r="G156" s="11"/>
      <c r="H156" s="11"/>
      <c r="I156" s="11"/>
      <c r="J156" s="11"/>
      <c r="K156" s="11"/>
      <c r="L156" s="11"/>
      <c r="M156" s="12" t="str">
        <f aca="false">IF(A156="","",IF(AND(I156="Approved",J156&lt;&gt;"",K156&lt;&gt;""),"Ready","Not yet"))</f>
        <v/>
      </c>
    </row>
    <row r="157" customFormat="false" ht="15" hidden="false" customHeight="false" outlineLevel="0" collapsed="false">
      <c r="A157" s="11"/>
      <c r="B157" s="11"/>
      <c r="C157" s="11"/>
      <c r="D157" s="11"/>
      <c r="E157" s="11"/>
      <c r="F157" s="11"/>
      <c r="G157" s="11"/>
      <c r="H157" s="11"/>
      <c r="I157" s="11"/>
      <c r="J157" s="11"/>
      <c r="K157" s="11"/>
      <c r="L157" s="11"/>
      <c r="M157" s="12" t="str">
        <f aca="false">IF(A157="","",IF(AND(I157="Approved",J157&lt;&gt;"",K157&lt;&gt;""),"Ready","Not yet"))</f>
        <v/>
      </c>
    </row>
    <row r="158" customFormat="false" ht="15" hidden="false" customHeight="false" outlineLevel="0" collapsed="false">
      <c r="A158" s="11"/>
      <c r="B158" s="11"/>
      <c r="C158" s="11"/>
      <c r="D158" s="11"/>
      <c r="E158" s="11"/>
      <c r="F158" s="11"/>
      <c r="G158" s="11"/>
      <c r="H158" s="11"/>
      <c r="I158" s="11"/>
      <c r="J158" s="11"/>
      <c r="K158" s="11"/>
      <c r="L158" s="11"/>
      <c r="M158" s="12" t="str">
        <f aca="false">IF(A158="","",IF(AND(I158="Approved",J158&lt;&gt;"",K158&lt;&gt;""),"Ready","Not yet"))</f>
        <v/>
      </c>
    </row>
    <row r="159" customFormat="false" ht="15" hidden="false" customHeight="false" outlineLevel="0" collapsed="false">
      <c r="A159" s="11"/>
      <c r="B159" s="11"/>
      <c r="C159" s="11"/>
      <c r="D159" s="11"/>
      <c r="E159" s="11"/>
      <c r="F159" s="11"/>
      <c r="G159" s="11"/>
      <c r="H159" s="11"/>
      <c r="I159" s="11"/>
      <c r="J159" s="11"/>
      <c r="K159" s="11"/>
      <c r="L159" s="11"/>
      <c r="M159" s="12" t="str">
        <f aca="false">IF(A159="","",IF(AND(I159="Approved",J159&lt;&gt;"",K159&lt;&gt;""),"Ready","Not yet"))</f>
        <v/>
      </c>
    </row>
    <row r="160" customFormat="false" ht="15" hidden="false" customHeight="false" outlineLevel="0" collapsed="false">
      <c r="A160" s="11"/>
      <c r="B160" s="11"/>
      <c r="C160" s="11"/>
      <c r="D160" s="11"/>
      <c r="E160" s="11"/>
      <c r="F160" s="11"/>
      <c r="G160" s="11"/>
      <c r="H160" s="11"/>
      <c r="I160" s="11"/>
      <c r="J160" s="11"/>
      <c r="K160" s="11"/>
      <c r="L160" s="11"/>
      <c r="M160" s="12" t="str">
        <f aca="false">IF(A160="","",IF(AND(I160="Approved",J160&lt;&gt;"",K160&lt;&gt;""),"Ready","Not yet"))</f>
        <v/>
      </c>
    </row>
    <row r="161" customFormat="false" ht="15" hidden="false" customHeight="false" outlineLevel="0" collapsed="false">
      <c r="A161" s="11"/>
      <c r="B161" s="11"/>
      <c r="C161" s="11"/>
      <c r="D161" s="11"/>
      <c r="E161" s="11"/>
      <c r="F161" s="11"/>
      <c r="G161" s="11"/>
      <c r="H161" s="11"/>
      <c r="I161" s="11"/>
      <c r="J161" s="11"/>
      <c r="K161" s="11"/>
      <c r="L161" s="11"/>
      <c r="M161" s="12" t="str">
        <f aca="false">IF(A161="","",IF(AND(I161="Approved",J161&lt;&gt;"",K161&lt;&gt;""),"Ready","Not yet"))</f>
        <v/>
      </c>
    </row>
    <row r="162" customFormat="false" ht="15" hidden="false" customHeight="false" outlineLevel="0" collapsed="false">
      <c r="A162" s="11"/>
      <c r="B162" s="11"/>
      <c r="C162" s="11"/>
      <c r="D162" s="11"/>
      <c r="E162" s="11"/>
      <c r="F162" s="11"/>
      <c r="G162" s="11"/>
      <c r="H162" s="11"/>
      <c r="I162" s="11"/>
      <c r="J162" s="11"/>
      <c r="K162" s="11"/>
      <c r="L162" s="11"/>
      <c r="M162" s="12" t="str">
        <f aca="false">IF(A162="","",IF(AND(I162="Approved",J162&lt;&gt;"",K162&lt;&gt;""),"Ready","Not yet"))</f>
        <v/>
      </c>
    </row>
    <row r="163" customFormat="false" ht="15" hidden="false" customHeight="false" outlineLevel="0" collapsed="false">
      <c r="A163" s="11"/>
      <c r="B163" s="11"/>
      <c r="C163" s="11"/>
      <c r="D163" s="11"/>
      <c r="E163" s="11"/>
      <c r="F163" s="11"/>
      <c r="G163" s="11"/>
      <c r="H163" s="11"/>
      <c r="I163" s="11"/>
      <c r="J163" s="11"/>
      <c r="K163" s="11"/>
      <c r="L163" s="11"/>
      <c r="M163" s="12" t="str">
        <f aca="false">IF(A163="","",IF(AND(I163="Approved",J163&lt;&gt;"",K163&lt;&gt;""),"Ready","Not yet"))</f>
        <v/>
      </c>
    </row>
    <row r="164" customFormat="false" ht="15" hidden="false" customHeight="false" outlineLevel="0" collapsed="false">
      <c r="A164" s="11"/>
      <c r="B164" s="11"/>
      <c r="C164" s="11"/>
      <c r="D164" s="11"/>
      <c r="E164" s="11"/>
      <c r="F164" s="11"/>
      <c r="G164" s="11"/>
      <c r="H164" s="11"/>
      <c r="I164" s="11"/>
      <c r="J164" s="11"/>
      <c r="K164" s="11"/>
      <c r="L164" s="11"/>
      <c r="M164" s="12" t="str">
        <f aca="false">IF(A164="","",IF(AND(I164="Approved",J164&lt;&gt;"",K164&lt;&gt;""),"Ready","Not yet"))</f>
        <v/>
      </c>
    </row>
    <row r="165" customFormat="false" ht="15" hidden="false" customHeight="false" outlineLevel="0" collapsed="false">
      <c r="A165" s="11"/>
      <c r="B165" s="11"/>
      <c r="C165" s="11"/>
      <c r="D165" s="11"/>
      <c r="E165" s="11"/>
      <c r="F165" s="11"/>
      <c r="G165" s="11"/>
      <c r="H165" s="11"/>
      <c r="I165" s="11"/>
      <c r="J165" s="11"/>
      <c r="K165" s="11"/>
      <c r="L165" s="11"/>
      <c r="M165" s="12" t="str">
        <f aca="false">IF(A165="","",IF(AND(I165="Approved",J165&lt;&gt;"",K165&lt;&gt;""),"Ready","Not yet"))</f>
        <v/>
      </c>
    </row>
    <row r="166" customFormat="false" ht="15" hidden="false" customHeight="false" outlineLevel="0" collapsed="false">
      <c r="A166" s="11"/>
      <c r="B166" s="11"/>
      <c r="C166" s="11"/>
      <c r="D166" s="11"/>
      <c r="E166" s="11"/>
      <c r="F166" s="11"/>
      <c r="G166" s="11"/>
      <c r="H166" s="11"/>
      <c r="I166" s="11"/>
      <c r="J166" s="11"/>
      <c r="K166" s="11"/>
      <c r="L166" s="11"/>
      <c r="M166" s="12" t="str">
        <f aca="false">IF(A166="","",IF(AND(I166="Approved",J166&lt;&gt;"",K166&lt;&gt;""),"Ready","Not yet"))</f>
        <v/>
      </c>
    </row>
    <row r="167" customFormat="false" ht="15" hidden="false" customHeight="false" outlineLevel="0" collapsed="false">
      <c r="A167" s="11"/>
      <c r="B167" s="11"/>
      <c r="C167" s="11"/>
      <c r="D167" s="11"/>
      <c r="E167" s="11"/>
      <c r="F167" s="11"/>
      <c r="G167" s="11"/>
      <c r="H167" s="11"/>
      <c r="I167" s="11"/>
      <c r="J167" s="11"/>
      <c r="K167" s="11"/>
      <c r="L167" s="11"/>
      <c r="M167" s="12" t="str">
        <f aca="false">IF(A167="","",IF(AND(I167="Approved",J167&lt;&gt;"",K167&lt;&gt;""),"Ready","Not yet"))</f>
        <v/>
      </c>
    </row>
    <row r="168" customFormat="false" ht="15" hidden="false" customHeight="false" outlineLevel="0" collapsed="false">
      <c r="A168" s="11"/>
      <c r="B168" s="11"/>
      <c r="C168" s="11"/>
      <c r="D168" s="11"/>
      <c r="E168" s="11"/>
      <c r="F168" s="11"/>
      <c r="G168" s="11"/>
      <c r="H168" s="11"/>
      <c r="I168" s="11"/>
      <c r="J168" s="11"/>
      <c r="K168" s="11"/>
      <c r="L168" s="11"/>
      <c r="M168" s="12" t="str">
        <f aca="false">IF(A168="","",IF(AND(I168="Approved",J168&lt;&gt;"",K168&lt;&gt;""),"Ready","Not yet"))</f>
        <v/>
      </c>
    </row>
    <row r="169" customFormat="false" ht="15" hidden="false" customHeight="false" outlineLevel="0" collapsed="false">
      <c r="A169" s="11"/>
      <c r="B169" s="11"/>
      <c r="C169" s="11"/>
      <c r="D169" s="11"/>
      <c r="E169" s="11"/>
      <c r="F169" s="11"/>
      <c r="G169" s="11"/>
      <c r="H169" s="11"/>
      <c r="I169" s="11"/>
      <c r="J169" s="11"/>
      <c r="K169" s="11"/>
      <c r="L169" s="11"/>
      <c r="M169" s="12" t="str">
        <f aca="false">IF(A169="","",IF(AND(I169="Approved",J169&lt;&gt;"",K169&lt;&gt;""),"Ready","Not yet"))</f>
        <v/>
      </c>
    </row>
    <row r="170" customFormat="false" ht="15" hidden="false" customHeight="false" outlineLevel="0" collapsed="false">
      <c r="A170" s="11"/>
      <c r="B170" s="11"/>
      <c r="C170" s="11"/>
      <c r="D170" s="11"/>
      <c r="E170" s="11"/>
      <c r="F170" s="11"/>
      <c r="G170" s="11"/>
      <c r="H170" s="11"/>
      <c r="I170" s="11"/>
      <c r="J170" s="11"/>
      <c r="K170" s="11"/>
      <c r="L170" s="11"/>
      <c r="M170" s="12" t="str">
        <f aca="false">IF(A170="","",IF(AND(I170="Approved",J170&lt;&gt;"",K170&lt;&gt;""),"Ready","Not yet"))</f>
        <v/>
      </c>
    </row>
    <row r="171" customFormat="false" ht="15" hidden="false" customHeight="false" outlineLevel="0" collapsed="false">
      <c r="A171" s="11"/>
      <c r="B171" s="11"/>
      <c r="C171" s="11"/>
      <c r="D171" s="11"/>
      <c r="E171" s="11"/>
      <c r="F171" s="11"/>
      <c r="G171" s="11"/>
      <c r="H171" s="11"/>
      <c r="I171" s="11"/>
      <c r="J171" s="11"/>
      <c r="K171" s="11"/>
      <c r="L171" s="11"/>
      <c r="M171" s="12" t="str">
        <f aca="false">IF(A171="","",IF(AND(I171="Approved",J171&lt;&gt;"",K171&lt;&gt;""),"Ready","Not yet"))</f>
        <v/>
      </c>
    </row>
    <row r="172" customFormat="false" ht="15" hidden="false" customHeight="false" outlineLevel="0" collapsed="false">
      <c r="A172" s="11"/>
      <c r="B172" s="11"/>
      <c r="C172" s="11"/>
      <c r="D172" s="11"/>
      <c r="E172" s="11"/>
      <c r="F172" s="11"/>
      <c r="G172" s="11"/>
      <c r="H172" s="11"/>
      <c r="I172" s="11"/>
      <c r="J172" s="11"/>
      <c r="K172" s="11"/>
      <c r="L172" s="11"/>
      <c r="M172" s="12" t="str">
        <f aca="false">IF(A172="","",IF(AND(I172="Approved",J172&lt;&gt;"",K172&lt;&gt;""),"Ready","Not yet"))</f>
        <v/>
      </c>
    </row>
    <row r="173" customFormat="false" ht="15" hidden="false" customHeight="false" outlineLevel="0" collapsed="false">
      <c r="A173" s="11"/>
      <c r="B173" s="11"/>
      <c r="C173" s="11"/>
      <c r="D173" s="11"/>
      <c r="E173" s="11"/>
      <c r="F173" s="11"/>
      <c r="G173" s="11"/>
      <c r="H173" s="11"/>
      <c r="I173" s="11"/>
      <c r="J173" s="11"/>
      <c r="K173" s="11"/>
      <c r="L173" s="11"/>
      <c r="M173" s="12" t="str">
        <f aca="false">IF(A173="","",IF(AND(I173="Approved",J173&lt;&gt;"",K173&lt;&gt;""),"Ready","Not yet"))</f>
        <v/>
      </c>
    </row>
    <row r="174" customFormat="false" ht="15" hidden="false" customHeight="false" outlineLevel="0" collapsed="false">
      <c r="A174" s="11"/>
      <c r="B174" s="11"/>
      <c r="C174" s="11"/>
      <c r="D174" s="11"/>
      <c r="E174" s="11"/>
      <c r="F174" s="11"/>
      <c r="G174" s="11"/>
      <c r="H174" s="11"/>
      <c r="I174" s="11"/>
      <c r="J174" s="11"/>
      <c r="K174" s="11"/>
      <c r="L174" s="11"/>
      <c r="M174" s="12" t="str">
        <f aca="false">IF(A174="","",IF(AND(I174="Approved",J174&lt;&gt;"",K174&lt;&gt;""),"Ready","Not yet"))</f>
        <v/>
      </c>
    </row>
    <row r="175" customFormat="false" ht="15" hidden="false" customHeight="false" outlineLevel="0" collapsed="false">
      <c r="A175" s="11"/>
      <c r="B175" s="11"/>
      <c r="C175" s="11"/>
      <c r="D175" s="11"/>
      <c r="E175" s="11"/>
      <c r="F175" s="11"/>
      <c r="G175" s="11"/>
      <c r="H175" s="11"/>
      <c r="I175" s="11"/>
      <c r="J175" s="11"/>
      <c r="K175" s="11"/>
      <c r="L175" s="11"/>
      <c r="M175" s="12" t="str">
        <f aca="false">IF(A175="","",IF(AND(I175="Approved",J175&lt;&gt;"",K175&lt;&gt;""),"Ready","Not yet"))</f>
        <v/>
      </c>
    </row>
    <row r="176" customFormat="false" ht="15" hidden="false" customHeight="false" outlineLevel="0" collapsed="false">
      <c r="A176" s="11"/>
      <c r="B176" s="11"/>
      <c r="C176" s="11"/>
      <c r="D176" s="11"/>
      <c r="E176" s="11"/>
      <c r="F176" s="11"/>
      <c r="G176" s="11"/>
      <c r="H176" s="11"/>
      <c r="I176" s="11"/>
      <c r="J176" s="11"/>
      <c r="K176" s="11"/>
      <c r="L176" s="11"/>
      <c r="M176" s="12" t="str">
        <f aca="false">IF(A176="","",IF(AND(I176="Approved",J176&lt;&gt;"",K176&lt;&gt;""),"Ready","Not yet"))</f>
        <v/>
      </c>
    </row>
    <row r="177" customFormat="false" ht="15" hidden="false" customHeight="false" outlineLevel="0" collapsed="false">
      <c r="A177" s="11"/>
      <c r="B177" s="11"/>
      <c r="C177" s="11"/>
      <c r="D177" s="11"/>
      <c r="E177" s="11"/>
      <c r="F177" s="11"/>
      <c r="G177" s="11"/>
      <c r="H177" s="11"/>
      <c r="I177" s="11"/>
      <c r="J177" s="11"/>
      <c r="K177" s="11"/>
      <c r="L177" s="11"/>
      <c r="M177" s="12" t="str">
        <f aca="false">IF(A177="","",IF(AND(I177="Approved",J177&lt;&gt;"",K177&lt;&gt;""),"Ready","Not yet"))</f>
        <v/>
      </c>
    </row>
    <row r="178" customFormat="false" ht="15" hidden="false" customHeight="false" outlineLevel="0" collapsed="false">
      <c r="A178" s="11"/>
      <c r="B178" s="11"/>
      <c r="C178" s="11"/>
      <c r="D178" s="11"/>
      <c r="E178" s="11"/>
      <c r="F178" s="11"/>
      <c r="G178" s="11"/>
      <c r="H178" s="11"/>
      <c r="I178" s="11"/>
      <c r="J178" s="11"/>
      <c r="K178" s="11"/>
      <c r="L178" s="11"/>
      <c r="M178" s="12" t="str">
        <f aca="false">IF(A178="","",IF(AND(I178="Approved",J178&lt;&gt;"",K178&lt;&gt;""),"Ready","Not yet"))</f>
        <v/>
      </c>
    </row>
    <row r="179" customFormat="false" ht="15" hidden="false" customHeight="false" outlineLevel="0" collapsed="false">
      <c r="A179" s="11"/>
      <c r="B179" s="11"/>
      <c r="C179" s="11"/>
      <c r="D179" s="11"/>
      <c r="E179" s="11"/>
      <c r="F179" s="11"/>
      <c r="G179" s="11"/>
      <c r="H179" s="11"/>
      <c r="I179" s="11"/>
      <c r="J179" s="11"/>
      <c r="K179" s="11"/>
      <c r="L179" s="11"/>
      <c r="M179" s="12" t="str">
        <f aca="false">IF(A179="","",IF(AND(I179="Approved",J179&lt;&gt;"",K179&lt;&gt;""),"Ready","Not yet"))</f>
        <v/>
      </c>
    </row>
    <row r="180" customFormat="false" ht="15" hidden="false" customHeight="false" outlineLevel="0" collapsed="false">
      <c r="A180" s="11"/>
      <c r="B180" s="11"/>
      <c r="C180" s="11"/>
      <c r="D180" s="11"/>
      <c r="E180" s="11"/>
      <c r="F180" s="11"/>
      <c r="G180" s="11"/>
      <c r="H180" s="11"/>
      <c r="I180" s="11"/>
      <c r="J180" s="11"/>
      <c r="K180" s="11"/>
      <c r="L180" s="11"/>
      <c r="M180" s="12" t="str">
        <f aca="false">IF(A180="","",IF(AND(I180="Approved",J180&lt;&gt;"",K180&lt;&gt;""),"Ready","Not yet"))</f>
        <v/>
      </c>
    </row>
    <row r="181" customFormat="false" ht="15" hidden="false" customHeight="false" outlineLevel="0" collapsed="false">
      <c r="A181" s="11"/>
      <c r="B181" s="11"/>
      <c r="C181" s="11"/>
      <c r="D181" s="11"/>
      <c r="E181" s="11"/>
      <c r="F181" s="11"/>
      <c r="G181" s="11"/>
      <c r="H181" s="11"/>
      <c r="I181" s="11"/>
      <c r="J181" s="11"/>
      <c r="K181" s="11"/>
      <c r="L181" s="11"/>
      <c r="M181" s="12" t="str">
        <f aca="false">IF(A181="","",IF(AND(I181="Approved",J181&lt;&gt;"",K181&lt;&gt;""),"Ready","Not yet"))</f>
        <v/>
      </c>
    </row>
    <row r="182" customFormat="false" ht="15" hidden="false" customHeight="false" outlineLevel="0" collapsed="false">
      <c r="A182" s="11"/>
      <c r="B182" s="11"/>
      <c r="C182" s="11"/>
      <c r="D182" s="11"/>
      <c r="E182" s="11"/>
      <c r="F182" s="11"/>
      <c r="G182" s="11"/>
      <c r="H182" s="11"/>
      <c r="I182" s="11"/>
      <c r="J182" s="11"/>
      <c r="K182" s="11"/>
      <c r="L182" s="11"/>
      <c r="M182" s="12" t="str">
        <f aca="false">IF(A182="","",IF(AND(I182="Approved",J182&lt;&gt;"",K182&lt;&gt;""),"Ready","Not yet"))</f>
        <v/>
      </c>
    </row>
    <row r="183" customFormat="false" ht="15" hidden="false" customHeight="false" outlineLevel="0" collapsed="false">
      <c r="A183" s="11"/>
      <c r="B183" s="11"/>
      <c r="C183" s="11"/>
      <c r="D183" s="11"/>
      <c r="E183" s="11"/>
      <c r="F183" s="11"/>
      <c r="G183" s="11"/>
      <c r="H183" s="11"/>
      <c r="I183" s="11"/>
      <c r="J183" s="11"/>
      <c r="K183" s="11"/>
      <c r="L183" s="11"/>
      <c r="M183" s="12" t="str">
        <f aca="false">IF(A183="","",IF(AND(I183="Approved",J183&lt;&gt;"",K183&lt;&gt;""),"Ready","Not yet"))</f>
        <v/>
      </c>
    </row>
    <row r="184" customFormat="false" ht="15" hidden="false" customHeight="false" outlineLevel="0" collapsed="false">
      <c r="A184" s="11"/>
      <c r="B184" s="11"/>
      <c r="C184" s="11"/>
      <c r="D184" s="11"/>
      <c r="E184" s="11"/>
      <c r="F184" s="11"/>
      <c r="G184" s="11"/>
      <c r="H184" s="11"/>
      <c r="I184" s="11"/>
      <c r="J184" s="11"/>
      <c r="K184" s="11"/>
      <c r="L184" s="11"/>
      <c r="M184" s="12" t="str">
        <f aca="false">IF(A184="","",IF(AND(I184="Approved",J184&lt;&gt;"",K184&lt;&gt;""),"Ready","Not yet"))</f>
        <v/>
      </c>
    </row>
    <row r="185" customFormat="false" ht="15" hidden="false" customHeight="false" outlineLevel="0" collapsed="false">
      <c r="A185" s="11"/>
      <c r="B185" s="11"/>
      <c r="C185" s="11"/>
      <c r="D185" s="11"/>
      <c r="E185" s="11"/>
      <c r="F185" s="11"/>
      <c r="G185" s="11"/>
      <c r="H185" s="11"/>
      <c r="I185" s="11"/>
      <c r="J185" s="11"/>
      <c r="K185" s="11"/>
      <c r="L185" s="11"/>
      <c r="M185" s="12" t="str">
        <f aca="false">IF(A185="","",IF(AND(I185="Approved",J185&lt;&gt;"",K185&lt;&gt;""),"Ready","Not yet"))</f>
        <v/>
      </c>
    </row>
    <row r="186" customFormat="false" ht="15" hidden="false" customHeight="false" outlineLevel="0" collapsed="false">
      <c r="A186" s="11"/>
      <c r="B186" s="11"/>
      <c r="C186" s="11"/>
      <c r="D186" s="11"/>
      <c r="E186" s="11"/>
      <c r="F186" s="11"/>
      <c r="G186" s="11"/>
      <c r="H186" s="11"/>
      <c r="I186" s="11"/>
      <c r="J186" s="11"/>
      <c r="K186" s="11"/>
      <c r="L186" s="11"/>
      <c r="M186" s="12" t="str">
        <f aca="false">IF(A186="","",IF(AND(I186="Approved",J186&lt;&gt;"",K186&lt;&gt;""),"Ready","Not yet"))</f>
        <v/>
      </c>
    </row>
    <row r="187" customFormat="false" ht="15" hidden="false" customHeight="false" outlineLevel="0" collapsed="false">
      <c r="A187" s="11"/>
      <c r="B187" s="11"/>
      <c r="C187" s="11"/>
      <c r="D187" s="11"/>
      <c r="E187" s="11"/>
      <c r="F187" s="11"/>
      <c r="G187" s="11"/>
      <c r="H187" s="11"/>
      <c r="I187" s="11"/>
      <c r="J187" s="11"/>
      <c r="K187" s="11"/>
      <c r="L187" s="11"/>
      <c r="M187" s="12" t="str">
        <f aca="false">IF(A187="","",IF(AND(I187="Approved",J187&lt;&gt;"",K187&lt;&gt;""),"Ready","Not yet"))</f>
        <v/>
      </c>
    </row>
    <row r="188" customFormat="false" ht="15" hidden="false" customHeight="false" outlineLevel="0" collapsed="false">
      <c r="A188" s="11"/>
      <c r="B188" s="11"/>
      <c r="C188" s="11"/>
      <c r="D188" s="11"/>
      <c r="E188" s="11"/>
      <c r="F188" s="11"/>
      <c r="G188" s="11"/>
      <c r="H188" s="11"/>
      <c r="I188" s="11"/>
      <c r="J188" s="11"/>
      <c r="K188" s="11"/>
      <c r="L188" s="11"/>
      <c r="M188" s="12" t="str">
        <f aca="false">IF(A188="","",IF(AND(I188="Approved",J188&lt;&gt;"",K188&lt;&gt;""),"Ready","Not yet"))</f>
        <v/>
      </c>
    </row>
    <row r="189" customFormat="false" ht="15" hidden="false" customHeight="false" outlineLevel="0" collapsed="false">
      <c r="A189" s="11"/>
      <c r="B189" s="11"/>
      <c r="C189" s="11"/>
      <c r="D189" s="11"/>
      <c r="E189" s="11"/>
      <c r="F189" s="11"/>
      <c r="G189" s="11"/>
      <c r="H189" s="11"/>
      <c r="I189" s="11"/>
      <c r="J189" s="11"/>
      <c r="K189" s="11"/>
      <c r="L189" s="11"/>
      <c r="M189" s="12" t="str">
        <f aca="false">IF(A189="","",IF(AND(I189="Approved",J189&lt;&gt;"",K189&lt;&gt;""),"Ready","Not yet"))</f>
        <v/>
      </c>
    </row>
    <row r="190" customFormat="false" ht="15" hidden="false" customHeight="false" outlineLevel="0" collapsed="false">
      <c r="A190" s="11"/>
      <c r="B190" s="11"/>
      <c r="C190" s="11"/>
      <c r="D190" s="11"/>
      <c r="E190" s="11"/>
      <c r="F190" s="11"/>
      <c r="G190" s="11"/>
      <c r="H190" s="11"/>
      <c r="I190" s="11"/>
      <c r="J190" s="11"/>
      <c r="K190" s="11"/>
      <c r="L190" s="11"/>
      <c r="M190" s="12" t="str">
        <f aca="false">IF(A190="","",IF(AND(I190="Approved",J190&lt;&gt;"",K190&lt;&gt;""),"Ready","Not yet"))</f>
        <v/>
      </c>
    </row>
    <row r="191" customFormat="false" ht="15" hidden="false" customHeight="false" outlineLevel="0" collapsed="false">
      <c r="A191" s="11"/>
      <c r="B191" s="11"/>
      <c r="C191" s="11"/>
      <c r="D191" s="11"/>
      <c r="E191" s="11"/>
      <c r="F191" s="11"/>
      <c r="G191" s="11"/>
      <c r="H191" s="11"/>
      <c r="I191" s="11"/>
      <c r="J191" s="11"/>
      <c r="K191" s="11"/>
      <c r="L191" s="11"/>
      <c r="M191" s="12" t="str">
        <f aca="false">IF(A191="","",IF(AND(I191="Approved",J191&lt;&gt;"",K191&lt;&gt;""),"Ready","Not yet"))</f>
        <v/>
      </c>
    </row>
    <row r="192" customFormat="false" ht="15" hidden="false" customHeight="false" outlineLevel="0" collapsed="false">
      <c r="A192" s="11"/>
      <c r="B192" s="11"/>
      <c r="C192" s="11"/>
      <c r="D192" s="11"/>
      <c r="E192" s="11"/>
      <c r="F192" s="11"/>
      <c r="G192" s="11"/>
      <c r="H192" s="11"/>
      <c r="I192" s="11"/>
      <c r="J192" s="11"/>
      <c r="K192" s="11"/>
      <c r="L192" s="11"/>
      <c r="M192" s="12" t="str">
        <f aca="false">IF(A192="","",IF(AND(I192="Approved",J192&lt;&gt;"",K192&lt;&gt;""),"Ready","Not yet"))</f>
        <v/>
      </c>
    </row>
    <row r="193" customFormat="false" ht="15" hidden="false" customHeight="false" outlineLevel="0" collapsed="false">
      <c r="A193" s="11"/>
      <c r="B193" s="11"/>
      <c r="C193" s="11"/>
      <c r="D193" s="11"/>
      <c r="E193" s="11"/>
      <c r="F193" s="11"/>
      <c r="G193" s="11"/>
      <c r="H193" s="11"/>
      <c r="I193" s="11"/>
      <c r="J193" s="11"/>
      <c r="K193" s="11"/>
      <c r="L193" s="11"/>
      <c r="M193" s="12" t="str">
        <f aca="false">IF(A193="","",IF(AND(I193="Approved",J193&lt;&gt;"",K193&lt;&gt;""),"Ready","Not yet"))</f>
        <v/>
      </c>
    </row>
    <row r="194" customFormat="false" ht="15" hidden="false" customHeight="false" outlineLevel="0" collapsed="false">
      <c r="A194" s="11"/>
      <c r="B194" s="11"/>
      <c r="C194" s="11"/>
      <c r="D194" s="11"/>
      <c r="E194" s="11"/>
      <c r="F194" s="11"/>
      <c r="G194" s="11"/>
      <c r="H194" s="11"/>
      <c r="I194" s="11"/>
      <c r="J194" s="11"/>
      <c r="K194" s="11"/>
      <c r="L194" s="11"/>
      <c r="M194" s="12" t="str">
        <f aca="false">IF(A194="","",IF(AND(I194="Approved",J194&lt;&gt;"",K194&lt;&gt;""),"Ready","Not yet"))</f>
        <v/>
      </c>
    </row>
    <row r="195" customFormat="false" ht="15" hidden="false" customHeight="false" outlineLevel="0" collapsed="false">
      <c r="A195" s="11"/>
      <c r="B195" s="11"/>
      <c r="C195" s="11"/>
      <c r="D195" s="11"/>
      <c r="E195" s="11"/>
      <c r="F195" s="11"/>
      <c r="G195" s="11"/>
      <c r="H195" s="11"/>
      <c r="I195" s="11"/>
      <c r="J195" s="11"/>
      <c r="K195" s="11"/>
      <c r="L195" s="11"/>
      <c r="M195" s="12" t="str">
        <f aca="false">IF(A195="","",IF(AND(I195="Approved",J195&lt;&gt;"",K195&lt;&gt;""),"Ready","Not yet"))</f>
        <v/>
      </c>
    </row>
    <row r="196" customFormat="false" ht="15" hidden="false" customHeight="false" outlineLevel="0" collapsed="false">
      <c r="A196" s="11"/>
      <c r="B196" s="11"/>
      <c r="C196" s="11"/>
      <c r="D196" s="11"/>
      <c r="E196" s="11"/>
      <c r="F196" s="11"/>
      <c r="G196" s="11"/>
      <c r="H196" s="11"/>
      <c r="I196" s="11"/>
      <c r="J196" s="11"/>
      <c r="K196" s="11"/>
      <c r="L196" s="11"/>
      <c r="M196" s="12" t="str">
        <f aca="false">IF(A196="","",IF(AND(I196="Approved",J196&lt;&gt;"",K196&lt;&gt;""),"Ready","Not yet"))</f>
        <v/>
      </c>
    </row>
    <row r="197" customFormat="false" ht="15" hidden="false" customHeight="false" outlineLevel="0" collapsed="false">
      <c r="A197" s="11"/>
      <c r="B197" s="11"/>
      <c r="C197" s="11"/>
      <c r="D197" s="11"/>
      <c r="E197" s="11"/>
      <c r="F197" s="11"/>
      <c r="G197" s="11"/>
      <c r="H197" s="11"/>
      <c r="I197" s="11"/>
      <c r="J197" s="11"/>
      <c r="K197" s="11"/>
      <c r="L197" s="11"/>
      <c r="M197" s="12" t="str">
        <f aca="false">IF(A197="","",IF(AND(I197="Approved",J197&lt;&gt;"",K197&lt;&gt;""),"Ready","Not yet"))</f>
        <v/>
      </c>
    </row>
    <row r="198" customFormat="false" ht="15" hidden="false" customHeight="false" outlineLevel="0" collapsed="false">
      <c r="A198" s="11"/>
      <c r="B198" s="11"/>
      <c r="C198" s="11"/>
      <c r="D198" s="11"/>
      <c r="E198" s="11"/>
      <c r="F198" s="11"/>
      <c r="G198" s="11"/>
      <c r="H198" s="11"/>
      <c r="I198" s="11"/>
      <c r="J198" s="11"/>
      <c r="K198" s="11"/>
      <c r="L198" s="11"/>
      <c r="M198" s="12" t="str">
        <f aca="false">IF(A198="","",IF(AND(I198="Approved",J198&lt;&gt;"",K198&lt;&gt;""),"Ready","Not yet"))</f>
        <v/>
      </c>
    </row>
    <row r="199" customFormat="false" ht="15" hidden="false" customHeight="false" outlineLevel="0" collapsed="false">
      <c r="A199" s="11"/>
      <c r="B199" s="11"/>
      <c r="C199" s="11"/>
      <c r="D199" s="11"/>
      <c r="E199" s="11"/>
      <c r="F199" s="11"/>
      <c r="G199" s="11"/>
      <c r="H199" s="11"/>
      <c r="I199" s="11"/>
      <c r="J199" s="11"/>
      <c r="K199" s="11"/>
      <c r="L199" s="11"/>
      <c r="M199" s="12" t="str">
        <f aca="false">IF(A199="","",IF(AND(I199="Approved",J199&lt;&gt;"",K199&lt;&gt;""),"Ready","Not yet"))</f>
        <v/>
      </c>
    </row>
  </sheetData>
  <autoFilter ref="A1:M80"/>
  <dataValidations count="1">
    <dataValidation allowBlank="true" errorStyle="stop" operator="between" showDropDown="false" showErrorMessage="false" showInputMessage="false" sqref="I2:I400" type="list">
      <formula1>Lists!$E$2:$E$6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6"/>
    <col collapsed="false" customWidth="true" hidden="false" outlineLevel="0" max="3" min="3" style="0" width="30"/>
    <col collapsed="false" customWidth="true" hidden="false" outlineLevel="0" max="4" min="4" style="0" width="44"/>
    <col collapsed="false" customWidth="true" hidden="false" outlineLevel="0" max="5" min="5" style="0" width="24"/>
    <col collapsed="false" customWidth="true" hidden="false" outlineLevel="0" max="7" min="6" style="0" width="16"/>
    <col collapsed="false" customWidth="true" hidden="false" outlineLevel="0" max="8" min="8" style="0" width="9"/>
    <col collapsed="false" customWidth="true" hidden="false" outlineLevel="0" max="9" min="9" style="0" width="14"/>
    <col collapsed="false" customWidth="true" hidden="false" outlineLevel="0" max="10" min="10" style="0" width="12"/>
    <col collapsed="false" customWidth="true" hidden="false" outlineLevel="0" max="11" min="11" style="0" width="14"/>
    <col collapsed="false" customWidth="true" hidden="false" outlineLevel="0" max="12" min="12" style="0" width="13"/>
    <col collapsed="false" customWidth="true" hidden="false" outlineLevel="0" max="13" min="13" style="0" width="28"/>
    <col collapsed="false" customWidth="true" hidden="false" outlineLevel="0" max="14" min="14" style="0" width="18"/>
    <col collapsed="false" customWidth="true" hidden="false" outlineLevel="0" max="15" min="15" style="0" width="12"/>
  </cols>
  <sheetData>
    <row r="1" customFormat="false" ht="30" hidden="false" customHeight="true" outlineLevel="0" collapsed="false">
      <c r="A1" s="10" t="s">
        <v>383</v>
      </c>
      <c r="B1" s="10" t="s">
        <v>384</v>
      </c>
      <c r="C1" s="10" t="s">
        <v>385</v>
      </c>
      <c r="D1" s="10" t="s">
        <v>386</v>
      </c>
      <c r="E1" s="10" t="s">
        <v>43</v>
      </c>
      <c r="F1" s="10" t="s">
        <v>387</v>
      </c>
      <c r="G1" s="10" t="s">
        <v>44</v>
      </c>
      <c r="H1" s="10" t="s">
        <v>388</v>
      </c>
      <c r="I1" s="10" t="s">
        <v>46</v>
      </c>
      <c r="J1" s="10" t="s">
        <v>47</v>
      </c>
      <c r="K1" s="10" t="s">
        <v>48</v>
      </c>
      <c r="L1" s="10" t="s">
        <v>49</v>
      </c>
      <c r="M1" s="10" t="s">
        <v>50</v>
      </c>
      <c r="N1" s="10" t="s">
        <v>389</v>
      </c>
      <c r="O1" s="10" t="s">
        <v>51</v>
      </c>
    </row>
    <row r="2" customFormat="false" ht="15" hidden="false" customHeight="false" outlineLevel="0" collapsed="false">
      <c r="A2" s="11" t="s">
        <v>390</v>
      </c>
      <c r="B2" s="11" t="s">
        <v>391</v>
      </c>
      <c r="C2" s="11" t="s">
        <v>392</v>
      </c>
      <c r="D2" s="11" t="s">
        <v>393</v>
      </c>
      <c r="E2" s="11" t="s">
        <v>394</v>
      </c>
      <c r="F2" s="11" t="s">
        <v>377</v>
      </c>
      <c r="G2" s="11" t="s">
        <v>114</v>
      </c>
      <c r="H2" s="11" t="s">
        <v>395</v>
      </c>
      <c r="I2" s="11" t="s">
        <v>59</v>
      </c>
      <c r="J2" s="11" t="s">
        <v>60</v>
      </c>
      <c r="K2" s="11"/>
      <c r="L2" s="11"/>
      <c r="M2" s="11"/>
      <c r="N2" s="11" t="str">
        <f aca="false">IF(A2="","",IF(SUBSTITUTE(SUBSTITUTE(B2," ",""),"|","")=A2,"OK","Split letters don't match"))</f>
        <v>OK</v>
      </c>
      <c r="O2" s="12" t="str">
        <f aca="false">IF(A2="","",IF(AND(J2="Approved",K2&lt;&gt;"",L2&lt;&gt;"",N2="OK"),"Ready","Not yet"))</f>
        <v>Not yet</v>
      </c>
    </row>
    <row r="3" customFormat="false" ht="15" hidden="false" customHeight="false" outlineLevel="0" collapsed="false">
      <c r="A3" s="11" t="s">
        <v>396</v>
      </c>
      <c r="B3" s="11" t="s">
        <v>397</v>
      </c>
      <c r="C3" s="11" t="s">
        <v>398</v>
      </c>
      <c r="D3" s="11" t="s">
        <v>399</v>
      </c>
      <c r="E3" s="11" t="s">
        <v>400</v>
      </c>
      <c r="F3" s="11" t="s">
        <v>377</v>
      </c>
      <c r="G3" s="11" t="s">
        <v>114</v>
      </c>
      <c r="H3" s="11" t="s">
        <v>395</v>
      </c>
      <c r="I3" s="11" t="s">
        <v>59</v>
      </c>
      <c r="J3" s="11" t="s">
        <v>60</v>
      </c>
      <c r="K3" s="11"/>
      <c r="L3" s="11"/>
      <c r="M3" s="11"/>
      <c r="N3" s="11" t="str">
        <f aca="false">IF(A3="","",IF(SUBSTITUTE(SUBSTITUTE(B3," ",""),"|","")=A3,"OK","Split letters don't match"))</f>
        <v>OK</v>
      </c>
      <c r="O3" s="12" t="str">
        <f aca="false">IF(A3="","",IF(AND(J3="Approved",K3&lt;&gt;"",L3&lt;&gt;"",N3="OK"),"Ready","Not yet"))</f>
        <v>Not yet</v>
      </c>
    </row>
    <row r="4" customFormat="false" ht="15" hidden="false" customHeight="false" outlineLevel="0" collapsed="false">
      <c r="A4" s="11" t="s">
        <v>401</v>
      </c>
      <c r="B4" s="11" t="s">
        <v>402</v>
      </c>
      <c r="C4" s="11" t="s">
        <v>403</v>
      </c>
      <c r="D4" s="11" t="s">
        <v>404</v>
      </c>
      <c r="E4" s="11" t="s">
        <v>405</v>
      </c>
      <c r="F4" s="11" t="s">
        <v>377</v>
      </c>
      <c r="G4" s="11" t="s">
        <v>119</v>
      </c>
      <c r="H4" s="11" t="s">
        <v>395</v>
      </c>
      <c r="I4" s="11" t="s">
        <v>59</v>
      </c>
      <c r="J4" s="11" t="s">
        <v>60</v>
      </c>
      <c r="K4" s="11"/>
      <c r="L4" s="11"/>
      <c r="M4" s="11"/>
      <c r="N4" s="11" t="str">
        <f aca="false">IF(A4="","",IF(SUBSTITUTE(SUBSTITUTE(B4," ",""),"|","")=A4,"OK","Split letters don't match"))</f>
        <v>OK</v>
      </c>
      <c r="O4" s="12" t="str">
        <f aca="false">IF(A4="","",IF(AND(J4="Approved",K4&lt;&gt;"",L4&lt;&gt;"",N4="OK"),"Ready","Not yet"))</f>
        <v>Not yet</v>
      </c>
    </row>
    <row r="5" customFormat="false" ht="15" hidden="false" customHeight="false" outlineLevel="0" collapsed="false">
      <c r="A5" s="11" t="s">
        <v>406</v>
      </c>
      <c r="B5" s="11" t="s">
        <v>407</v>
      </c>
      <c r="C5" s="11" t="s">
        <v>408</v>
      </c>
      <c r="D5" s="11" t="s">
        <v>409</v>
      </c>
      <c r="E5" s="11" t="s">
        <v>410</v>
      </c>
      <c r="F5" s="11" t="s">
        <v>377</v>
      </c>
      <c r="G5" s="11" t="s">
        <v>183</v>
      </c>
      <c r="H5" s="11" t="s">
        <v>395</v>
      </c>
      <c r="I5" s="11" t="s">
        <v>59</v>
      </c>
      <c r="J5" s="11" t="s">
        <v>60</v>
      </c>
      <c r="K5" s="11"/>
      <c r="L5" s="11"/>
      <c r="M5" s="11"/>
      <c r="N5" s="11" t="str">
        <f aca="false">IF(A5="","",IF(SUBSTITUTE(SUBSTITUTE(B5," ",""),"|","")=A5,"OK","Split letters don't match"))</f>
        <v>OK</v>
      </c>
      <c r="O5" s="12" t="str">
        <f aca="false">IF(A5="","",IF(AND(J5="Approved",K5&lt;&gt;"",L5&lt;&gt;"",N5="OK"),"Ready","Not yet"))</f>
        <v>Not yet</v>
      </c>
    </row>
    <row r="6" customFormat="false" ht="15" hidden="false" customHeight="false" outlineLevel="0" collapsed="false">
      <c r="A6" s="11" t="s">
        <v>411</v>
      </c>
      <c r="B6" s="11" t="s">
        <v>412</v>
      </c>
      <c r="C6" s="11" t="s">
        <v>413</v>
      </c>
      <c r="D6" s="11" t="s">
        <v>414</v>
      </c>
      <c r="E6" s="11" t="s">
        <v>415</v>
      </c>
      <c r="F6" s="11" t="s">
        <v>377</v>
      </c>
      <c r="G6" s="11" t="s">
        <v>119</v>
      </c>
      <c r="H6" s="11" t="s">
        <v>395</v>
      </c>
      <c r="I6" s="11" t="s">
        <v>59</v>
      </c>
      <c r="J6" s="11" t="s">
        <v>60</v>
      </c>
      <c r="K6" s="11"/>
      <c r="L6" s="11"/>
      <c r="M6" s="11"/>
      <c r="N6" s="11" t="str">
        <f aca="false">IF(A6="","",IF(SUBSTITUTE(SUBSTITUTE(B6," ",""),"|","")=A6,"OK","Split letters don't match"))</f>
        <v>OK</v>
      </c>
      <c r="O6" s="12" t="str">
        <f aca="false">IF(A6="","",IF(AND(J6="Approved",K6&lt;&gt;"",L6&lt;&gt;"",N6="OK"),"Ready","Not yet"))</f>
        <v>Not yet</v>
      </c>
    </row>
    <row r="7" customFormat="false" ht="15" hidden="false" customHeight="false" outlineLevel="0" collapsed="false">
      <c r="A7" s="11" t="s">
        <v>416</v>
      </c>
      <c r="B7" s="11" t="s">
        <v>417</v>
      </c>
      <c r="C7" s="11" t="s">
        <v>418</v>
      </c>
      <c r="D7" s="11" t="s">
        <v>419</v>
      </c>
      <c r="E7" s="11" t="s">
        <v>420</v>
      </c>
      <c r="F7" s="11" t="s">
        <v>377</v>
      </c>
      <c r="G7" s="11" t="s">
        <v>192</v>
      </c>
      <c r="H7" s="11" t="s">
        <v>395</v>
      </c>
      <c r="I7" s="11" t="s">
        <v>59</v>
      </c>
      <c r="J7" s="11" t="s">
        <v>60</v>
      </c>
      <c r="K7" s="11"/>
      <c r="L7" s="11"/>
      <c r="M7" s="11"/>
      <c r="N7" s="11" t="str">
        <f aca="false">IF(A7="","",IF(SUBSTITUTE(SUBSTITUTE(B7," ",""),"|","")=A7,"OK","Split letters don't match"))</f>
        <v>OK</v>
      </c>
      <c r="O7" s="12" t="str">
        <f aca="false">IF(A7="","",IF(AND(J7="Approved",K7&lt;&gt;"",L7&lt;&gt;"",N7="OK"),"Ready","Not yet"))</f>
        <v>Not yet</v>
      </c>
    </row>
    <row r="8" customFormat="false" ht="15" hidden="false" customHeight="false" outlineLevel="0" collapsed="false">
      <c r="A8" s="11" t="s">
        <v>421</v>
      </c>
      <c r="B8" s="11" t="s">
        <v>422</v>
      </c>
      <c r="C8" s="11" t="s">
        <v>423</v>
      </c>
      <c r="D8" s="11" t="s">
        <v>424</v>
      </c>
      <c r="E8" s="11" t="s">
        <v>425</v>
      </c>
      <c r="F8" s="11" t="s">
        <v>377</v>
      </c>
      <c r="G8" s="11" t="s">
        <v>109</v>
      </c>
      <c r="H8" s="11" t="s">
        <v>395</v>
      </c>
      <c r="I8" s="11" t="s">
        <v>59</v>
      </c>
      <c r="J8" s="11" t="s">
        <v>60</v>
      </c>
      <c r="K8" s="11"/>
      <c r="L8" s="11"/>
      <c r="M8" s="11"/>
      <c r="N8" s="11" t="str">
        <f aca="false">IF(A8="","",IF(SUBSTITUTE(SUBSTITUTE(B8," ",""),"|","")=A8,"OK","Split letters don't match"))</f>
        <v>OK</v>
      </c>
      <c r="O8" s="12" t="str">
        <f aca="false">IF(A8="","",IF(AND(J8="Approved",K8&lt;&gt;"",L8&lt;&gt;"",N8="OK"),"Ready","Not yet"))</f>
        <v>Not yet</v>
      </c>
    </row>
    <row r="9" customFormat="false" ht="15" hidden="false" customHeight="false" outlineLevel="0" collapsed="false">
      <c r="A9" s="11" t="s">
        <v>426</v>
      </c>
      <c r="B9" s="11" t="s">
        <v>427</v>
      </c>
      <c r="C9" s="11" t="s">
        <v>428</v>
      </c>
      <c r="D9" s="11" t="s">
        <v>429</v>
      </c>
      <c r="E9" s="11" t="s">
        <v>430</v>
      </c>
      <c r="F9" s="11" t="s">
        <v>377</v>
      </c>
      <c r="G9" s="11" t="s">
        <v>153</v>
      </c>
      <c r="H9" s="11" t="s">
        <v>395</v>
      </c>
      <c r="I9" s="11" t="s">
        <v>59</v>
      </c>
      <c r="J9" s="11" t="s">
        <v>60</v>
      </c>
      <c r="K9" s="11"/>
      <c r="L9" s="11"/>
      <c r="M9" s="11"/>
      <c r="N9" s="11" t="str">
        <f aca="false">IF(A9="","",IF(SUBSTITUTE(SUBSTITUTE(B9," ",""),"|","")=A9,"OK","Split letters don't match"))</f>
        <v>OK</v>
      </c>
      <c r="O9" s="12" t="str">
        <f aca="false">IF(A9="","",IF(AND(J9="Approved",K9&lt;&gt;"",L9&lt;&gt;"",N9="OK"),"Ready","Not yet"))</f>
        <v>Not yet</v>
      </c>
    </row>
    <row r="10" customFormat="false" ht="15" hidden="false" customHeight="false" outlineLevel="0" collapsed="false">
      <c r="A10" s="11" t="s">
        <v>431</v>
      </c>
      <c r="B10" s="11" t="s">
        <v>432</v>
      </c>
      <c r="C10" s="11" t="s">
        <v>433</v>
      </c>
      <c r="D10" s="11" t="s">
        <v>434</v>
      </c>
      <c r="E10" s="11" t="s">
        <v>435</v>
      </c>
      <c r="F10" s="11" t="s">
        <v>377</v>
      </c>
      <c r="G10" s="11" t="s">
        <v>264</v>
      </c>
      <c r="H10" s="11" t="s">
        <v>395</v>
      </c>
      <c r="I10" s="11" t="s">
        <v>59</v>
      </c>
      <c r="J10" s="11" t="s">
        <v>60</v>
      </c>
      <c r="K10" s="11"/>
      <c r="L10" s="11"/>
      <c r="M10" s="11"/>
      <c r="N10" s="11" t="str">
        <f aca="false">IF(A10="","",IF(SUBSTITUTE(SUBSTITUTE(B10," ",""),"|","")=A10,"OK","Split letters don't match"))</f>
        <v>OK</v>
      </c>
      <c r="O10" s="12" t="str">
        <f aca="false">IF(A10="","",IF(AND(J10="Approved",K10&lt;&gt;"",L10&lt;&gt;"",N10="OK"),"Ready","Not yet"))</f>
        <v>Not yet</v>
      </c>
    </row>
    <row r="11" customFormat="false" ht="15" hidden="false" customHeight="false" outlineLevel="0" collapsed="false">
      <c r="A11" s="11" t="s">
        <v>436</v>
      </c>
      <c r="B11" s="11" t="s">
        <v>437</v>
      </c>
      <c r="C11" s="11" t="s">
        <v>438</v>
      </c>
      <c r="D11" s="11" t="s">
        <v>439</v>
      </c>
      <c r="E11" s="11" t="s">
        <v>440</v>
      </c>
      <c r="F11" s="11" t="s">
        <v>377</v>
      </c>
      <c r="G11" s="11" t="s">
        <v>264</v>
      </c>
      <c r="H11" s="11" t="s">
        <v>395</v>
      </c>
      <c r="I11" s="11" t="s">
        <v>59</v>
      </c>
      <c r="J11" s="11" t="s">
        <v>60</v>
      </c>
      <c r="K11" s="11"/>
      <c r="L11" s="11"/>
      <c r="M11" s="11"/>
      <c r="N11" s="11" t="str">
        <f aca="false">IF(A11="","",IF(SUBSTITUTE(SUBSTITUTE(B11," ",""),"|","")=A11,"OK","Split letters don't match"))</f>
        <v>OK</v>
      </c>
      <c r="O11" s="12" t="str">
        <f aca="false">IF(A11="","",IF(AND(J11="Approved",K11&lt;&gt;"",L11&lt;&gt;"",N11="OK"),"Ready","Not yet"))</f>
        <v>Not yet</v>
      </c>
    </row>
    <row r="12" customFormat="false" ht="15" hidden="false" customHeight="false" outlineLevel="0" collapsed="false">
      <c r="A12" s="11" t="s">
        <v>441</v>
      </c>
      <c r="B12" s="11" t="s">
        <v>442</v>
      </c>
      <c r="C12" s="11" t="s">
        <v>443</v>
      </c>
      <c r="D12" s="11" t="s">
        <v>444</v>
      </c>
      <c r="E12" s="11" t="s">
        <v>445</v>
      </c>
      <c r="F12" s="11" t="s">
        <v>377</v>
      </c>
      <c r="G12" s="11" t="s">
        <v>114</v>
      </c>
      <c r="H12" s="11" t="s">
        <v>395</v>
      </c>
      <c r="I12" s="11" t="s">
        <v>59</v>
      </c>
      <c r="J12" s="11" t="s">
        <v>60</v>
      </c>
      <c r="K12" s="11"/>
      <c r="L12" s="11"/>
      <c r="M12" s="11"/>
      <c r="N12" s="11" t="str">
        <f aca="false">IF(A12="","",IF(SUBSTITUTE(SUBSTITUTE(B12," ",""),"|","")=A12,"OK","Split letters don't match"))</f>
        <v>OK</v>
      </c>
      <c r="O12" s="12" t="str">
        <f aca="false">IF(A12="","",IF(AND(J12="Approved",K12&lt;&gt;"",L12&lt;&gt;"",N12="OK"),"Ready","Not yet"))</f>
        <v>Not yet</v>
      </c>
    </row>
    <row r="13" customFormat="false" ht="15" hidden="false" customHeight="false" outlineLevel="0" collapsed="false">
      <c r="A13" s="11" t="s">
        <v>446</v>
      </c>
      <c r="B13" s="11" t="s">
        <v>447</v>
      </c>
      <c r="C13" s="11" t="s">
        <v>448</v>
      </c>
      <c r="D13" s="11" t="s">
        <v>449</v>
      </c>
      <c r="E13" s="11" t="s">
        <v>450</v>
      </c>
      <c r="F13" s="11" t="s">
        <v>451</v>
      </c>
      <c r="G13" s="11" t="s">
        <v>114</v>
      </c>
      <c r="H13" s="11" t="s">
        <v>395</v>
      </c>
      <c r="I13" s="11" t="s">
        <v>59</v>
      </c>
      <c r="J13" s="11" t="s">
        <v>60</v>
      </c>
      <c r="K13" s="11"/>
      <c r="L13" s="11"/>
      <c r="M13" s="11"/>
      <c r="N13" s="11" t="str">
        <f aca="false">IF(A13="","",IF(SUBSTITUTE(SUBSTITUTE(B13," ",""),"|","")=A13,"OK","Split letters don't match"))</f>
        <v>OK</v>
      </c>
      <c r="O13" s="12" t="str">
        <f aca="false">IF(A13="","",IF(AND(J13="Approved",K13&lt;&gt;"",L13&lt;&gt;"",N13="OK"),"Ready","Not yet"))</f>
        <v>Not yet</v>
      </c>
    </row>
    <row r="14" customFormat="false" ht="15" hidden="false" customHeight="false" outlineLevel="0" collapsed="false">
      <c r="A14" s="11" t="s">
        <v>452</v>
      </c>
      <c r="B14" s="11" t="s">
        <v>453</v>
      </c>
      <c r="C14" s="11" t="s">
        <v>454</v>
      </c>
      <c r="D14" s="11" t="s">
        <v>455</v>
      </c>
      <c r="E14" s="11" t="s">
        <v>456</v>
      </c>
      <c r="F14" s="11" t="s">
        <v>451</v>
      </c>
      <c r="G14" s="11" t="s">
        <v>281</v>
      </c>
      <c r="H14" s="11" t="s">
        <v>395</v>
      </c>
      <c r="I14" s="11" t="s">
        <v>59</v>
      </c>
      <c r="J14" s="11" t="s">
        <v>60</v>
      </c>
      <c r="K14" s="11"/>
      <c r="L14" s="11"/>
      <c r="M14" s="11"/>
      <c r="N14" s="11" t="str">
        <f aca="false">IF(A14="","",IF(SUBSTITUTE(SUBSTITUTE(B14," ",""),"|","")=A14,"OK","Split letters don't match"))</f>
        <v>OK</v>
      </c>
      <c r="O14" s="12" t="str">
        <f aca="false">IF(A14="","",IF(AND(J14="Approved",K14&lt;&gt;"",L14&lt;&gt;"",N14="OK"),"Ready","Not yet"))</f>
        <v>Not yet</v>
      </c>
    </row>
    <row r="15" customFormat="false" ht="15" hidden="false" customHeight="false" outlineLevel="0" collapsed="false">
      <c r="A15" s="11" t="s">
        <v>457</v>
      </c>
      <c r="B15" s="11" t="s">
        <v>458</v>
      </c>
      <c r="C15" s="11" t="s">
        <v>459</v>
      </c>
      <c r="D15" s="11" t="s">
        <v>460</v>
      </c>
      <c r="E15" s="11" t="s">
        <v>461</v>
      </c>
      <c r="F15" s="11" t="s">
        <v>451</v>
      </c>
      <c r="G15" s="11" t="s">
        <v>114</v>
      </c>
      <c r="H15" s="11" t="s">
        <v>395</v>
      </c>
      <c r="I15" s="11" t="s">
        <v>59</v>
      </c>
      <c r="J15" s="11" t="s">
        <v>60</v>
      </c>
      <c r="K15" s="11"/>
      <c r="L15" s="11"/>
      <c r="M15" s="11"/>
      <c r="N15" s="11" t="str">
        <f aca="false">IF(A15="","",IF(SUBSTITUTE(SUBSTITUTE(B15," ",""),"|","")=A15,"OK","Split letters don't match"))</f>
        <v>OK</v>
      </c>
      <c r="O15" s="12" t="str">
        <f aca="false">IF(A15="","",IF(AND(J15="Approved",K15&lt;&gt;"",L15&lt;&gt;"",N15="OK"),"Ready","Not yet"))</f>
        <v>Not yet</v>
      </c>
    </row>
    <row r="16" customFormat="false" ht="15" hidden="false" customHeight="false" outlineLevel="0" collapsed="false">
      <c r="A16" s="11" t="s">
        <v>462</v>
      </c>
      <c r="B16" s="11" t="s">
        <v>463</v>
      </c>
      <c r="C16" s="11" t="s">
        <v>464</v>
      </c>
      <c r="D16" s="11" t="s">
        <v>465</v>
      </c>
      <c r="E16" s="11" t="s">
        <v>466</v>
      </c>
      <c r="F16" s="11" t="s">
        <v>451</v>
      </c>
      <c r="G16" s="11" t="s">
        <v>153</v>
      </c>
      <c r="H16" s="11" t="s">
        <v>395</v>
      </c>
      <c r="I16" s="11" t="s">
        <v>59</v>
      </c>
      <c r="J16" s="11" t="s">
        <v>60</v>
      </c>
      <c r="K16" s="11"/>
      <c r="L16" s="11"/>
      <c r="M16" s="11"/>
      <c r="N16" s="11" t="str">
        <f aca="false">IF(A16="","",IF(SUBSTITUTE(SUBSTITUTE(B16," ",""),"|","")=A16,"OK","Split letters don't match"))</f>
        <v>OK</v>
      </c>
      <c r="O16" s="12" t="str">
        <f aca="false">IF(A16="","",IF(AND(J16="Approved",K16&lt;&gt;"",L16&lt;&gt;"",N16="OK"),"Ready","Not yet"))</f>
        <v>Not yet</v>
      </c>
    </row>
    <row r="17" customFormat="false" ht="15" hidden="false" customHeight="false" outlineLevel="0" collapsed="false">
      <c r="A17" s="11" t="s">
        <v>467</v>
      </c>
      <c r="B17" s="11" t="s">
        <v>468</v>
      </c>
      <c r="C17" s="11" t="s">
        <v>469</v>
      </c>
      <c r="D17" s="11" t="s">
        <v>470</v>
      </c>
      <c r="E17" s="11" t="s">
        <v>471</v>
      </c>
      <c r="F17" s="11" t="s">
        <v>451</v>
      </c>
      <c r="G17" s="11" t="s">
        <v>192</v>
      </c>
      <c r="H17" s="11" t="s">
        <v>395</v>
      </c>
      <c r="I17" s="11" t="s">
        <v>59</v>
      </c>
      <c r="J17" s="11" t="s">
        <v>60</v>
      </c>
      <c r="K17" s="11"/>
      <c r="L17" s="11"/>
      <c r="M17" s="11"/>
      <c r="N17" s="11" t="str">
        <f aca="false">IF(A17="","",IF(SUBSTITUTE(SUBSTITUTE(B17," ",""),"|","")=A17,"OK","Split letters don't match"))</f>
        <v>OK</v>
      </c>
      <c r="O17" s="12" t="str">
        <f aca="false">IF(A17="","",IF(AND(J17="Approved",K17&lt;&gt;"",L17&lt;&gt;"",N17="OK"),"Ready","Not yet"))</f>
        <v>Not yet</v>
      </c>
    </row>
    <row r="18" customFormat="false" ht="15" hidden="false" customHeight="false" outlineLevel="0" collapsed="false">
      <c r="A18" s="11" t="s">
        <v>472</v>
      </c>
      <c r="B18" s="11" t="s">
        <v>473</v>
      </c>
      <c r="C18" s="11" t="s">
        <v>474</v>
      </c>
      <c r="D18" s="11" t="s">
        <v>475</v>
      </c>
      <c r="E18" s="11" t="s">
        <v>476</v>
      </c>
      <c r="F18" s="11" t="s">
        <v>451</v>
      </c>
      <c r="G18" s="11" t="s">
        <v>192</v>
      </c>
      <c r="H18" s="11" t="s">
        <v>395</v>
      </c>
      <c r="I18" s="11" t="s">
        <v>59</v>
      </c>
      <c r="J18" s="11" t="s">
        <v>60</v>
      </c>
      <c r="K18" s="11"/>
      <c r="L18" s="11"/>
      <c r="M18" s="11"/>
      <c r="N18" s="11" t="str">
        <f aca="false">IF(A18="","",IF(SUBSTITUTE(SUBSTITUTE(B18," ",""),"|","")=A18,"OK","Split letters don't match"))</f>
        <v>OK</v>
      </c>
      <c r="O18" s="12" t="str">
        <f aca="false">IF(A18="","",IF(AND(J18="Approved",K18&lt;&gt;"",L18&lt;&gt;"",N18="OK"),"Ready","Not yet"))</f>
        <v>Not yet</v>
      </c>
    </row>
    <row r="19" customFormat="false" ht="15" hidden="false" customHeight="false" outlineLevel="0" collapsed="false">
      <c r="A19" s="11" t="s">
        <v>477</v>
      </c>
      <c r="B19" s="11" t="s">
        <v>478</v>
      </c>
      <c r="C19" s="11" t="s">
        <v>479</v>
      </c>
      <c r="D19" s="11" t="s">
        <v>480</v>
      </c>
      <c r="E19" s="11" t="s">
        <v>481</v>
      </c>
      <c r="F19" s="11" t="s">
        <v>451</v>
      </c>
      <c r="G19" s="11" t="s">
        <v>109</v>
      </c>
      <c r="H19" s="11" t="s">
        <v>395</v>
      </c>
      <c r="I19" s="11" t="s">
        <v>59</v>
      </c>
      <c r="J19" s="11" t="s">
        <v>60</v>
      </c>
      <c r="K19" s="11"/>
      <c r="L19" s="11"/>
      <c r="M19" s="11"/>
      <c r="N19" s="11" t="str">
        <f aca="false">IF(A19="","",IF(SUBSTITUTE(SUBSTITUTE(B19," ",""),"|","")=A19,"OK","Split letters don't match"))</f>
        <v>OK</v>
      </c>
      <c r="O19" s="12" t="str">
        <f aca="false">IF(A19="","",IF(AND(J19="Approved",K19&lt;&gt;"",L19&lt;&gt;"",N19="OK"),"Ready","Not yet"))</f>
        <v>Not yet</v>
      </c>
    </row>
    <row r="20" customFormat="false" ht="15" hidden="false" customHeight="false" outlineLevel="0" collapsed="false">
      <c r="A20" s="11" t="s">
        <v>482</v>
      </c>
      <c r="B20" s="11" t="s">
        <v>483</v>
      </c>
      <c r="C20" s="11" t="s">
        <v>484</v>
      </c>
      <c r="D20" s="11" t="s">
        <v>485</v>
      </c>
      <c r="E20" s="11" t="s">
        <v>486</v>
      </c>
      <c r="F20" s="11" t="s">
        <v>487</v>
      </c>
      <c r="G20" s="11" t="s">
        <v>109</v>
      </c>
      <c r="H20" s="11" t="s">
        <v>395</v>
      </c>
      <c r="I20" s="11" t="s">
        <v>59</v>
      </c>
      <c r="J20" s="11" t="s">
        <v>60</v>
      </c>
      <c r="K20" s="11"/>
      <c r="L20" s="11"/>
      <c r="M20" s="11"/>
      <c r="N20" s="11" t="str">
        <f aca="false">IF(A20="","",IF(SUBSTITUTE(SUBSTITUTE(B20," ",""),"|","")=A20,"OK","Split letters don't match"))</f>
        <v>OK</v>
      </c>
      <c r="O20" s="12" t="str">
        <f aca="false">IF(A20="","",IF(AND(J20="Approved",K20&lt;&gt;"",L20&lt;&gt;"",N20="OK"),"Ready","Not yet"))</f>
        <v>Not yet</v>
      </c>
    </row>
    <row r="21" customFormat="false" ht="15" hidden="false" customHeight="false" outlineLevel="0" collapsed="false">
      <c r="A21" s="11" t="s">
        <v>488</v>
      </c>
      <c r="B21" s="11" t="s">
        <v>489</v>
      </c>
      <c r="C21" s="11" t="s">
        <v>490</v>
      </c>
      <c r="D21" s="11" t="s">
        <v>491</v>
      </c>
      <c r="E21" s="11" t="s">
        <v>492</v>
      </c>
      <c r="F21" s="11" t="s">
        <v>487</v>
      </c>
      <c r="G21" s="11" t="s">
        <v>114</v>
      </c>
      <c r="H21" s="11" t="s">
        <v>395</v>
      </c>
      <c r="I21" s="11" t="s">
        <v>59</v>
      </c>
      <c r="J21" s="11" t="s">
        <v>60</v>
      </c>
      <c r="K21" s="11"/>
      <c r="L21" s="11"/>
      <c r="M21" s="11"/>
      <c r="N21" s="11" t="str">
        <f aca="false">IF(A21="","",IF(SUBSTITUTE(SUBSTITUTE(B21," ",""),"|","")=A21,"OK","Split letters don't match"))</f>
        <v>OK</v>
      </c>
      <c r="O21" s="12" t="str">
        <f aca="false">IF(A21="","",IF(AND(J21="Approved",K21&lt;&gt;"",L21&lt;&gt;"",N21="OK"),"Ready","Not yet"))</f>
        <v>Not yet</v>
      </c>
    </row>
    <row r="22" customFormat="false" ht="15" hidden="false" customHeight="false" outlineLevel="0" collapsed="false">
      <c r="A22" s="11" t="s">
        <v>493</v>
      </c>
      <c r="B22" s="11" t="s">
        <v>494</v>
      </c>
      <c r="C22" s="11" t="s">
        <v>495</v>
      </c>
      <c r="D22" s="11" t="s">
        <v>496</v>
      </c>
      <c r="E22" s="11" t="s">
        <v>497</v>
      </c>
      <c r="F22" s="11" t="s">
        <v>498</v>
      </c>
      <c r="G22" s="11" t="s">
        <v>153</v>
      </c>
      <c r="H22" s="11" t="s">
        <v>395</v>
      </c>
      <c r="I22" s="11" t="s">
        <v>59</v>
      </c>
      <c r="J22" s="11" t="s">
        <v>60</v>
      </c>
      <c r="K22" s="11"/>
      <c r="L22" s="11"/>
      <c r="M22" s="11"/>
      <c r="N22" s="11" t="str">
        <f aca="false">IF(A22="","",IF(SUBSTITUTE(SUBSTITUTE(B22," ",""),"|","")=A22,"OK","Split letters don't match"))</f>
        <v>OK</v>
      </c>
      <c r="O22" s="12" t="str">
        <f aca="false">IF(A22="","",IF(AND(J22="Approved",K22&lt;&gt;"",L22&lt;&gt;"",N22="OK"),"Ready","Not yet"))</f>
        <v>Not yet</v>
      </c>
    </row>
    <row r="23" customFormat="false" ht="15" hidden="false" customHeight="false" outlineLevel="0" collapsed="false">
      <c r="A23" s="11" t="s">
        <v>499</v>
      </c>
      <c r="B23" s="11" t="s">
        <v>500</v>
      </c>
      <c r="C23" s="11" t="s">
        <v>501</v>
      </c>
      <c r="D23" s="11" t="s">
        <v>502</v>
      </c>
      <c r="E23" s="11" t="s">
        <v>503</v>
      </c>
      <c r="F23" s="11" t="s">
        <v>498</v>
      </c>
      <c r="G23" s="11" t="s">
        <v>170</v>
      </c>
      <c r="H23" s="11" t="s">
        <v>395</v>
      </c>
      <c r="I23" s="11" t="s">
        <v>59</v>
      </c>
      <c r="J23" s="11" t="s">
        <v>60</v>
      </c>
      <c r="K23" s="11"/>
      <c r="L23" s="11"/>
      <c r="M23" s="11"/>
      <c r="N23" s="11" t="str">
        <f aca="false">IF(A23="","",IF(SUBSTITUTE(SUBSTITUTE(B23," ",""),"|","")=A23,"OK","Split letters don't match"))</f>
        <v>OK</v>
      </c>
      <c r="O23" s="12" t="str">
        <f aca="false">IF(A23="","",IF(AND(J23="Approved",K23&lt;&gt;"",L23&lt;&gt;"",N23="OK"),"Ready","Not yet"))</f>
        <v>Not yet</v>
      </c>
    </row>
    <row r="24" customFormat="false" ht="15" hidden="false" customHeight="false" outlineLevel="0" collapsed="false">
      <c r="A24" s="11" t="s">
        <v>504</v>
      </c>
      <c r="B24" s="11" t="s">
        <v>505</v>
      </c>
      <c r="C24" s="11" t="s">
        <v>506</v>
      </c>
      <c r="D24" s="11" t="s">
        <v>507</v>
      </c>
      <c r="E24" s="11" t="s">
        <v>508</v>
      </c>
      <c r="F24" s="11" t="s">
        <v>498</v>
      </c>
      <c r="G24" s="11" t="s">
        <v>153</v>
      </c>
      <c r="H24" s="11" t="s">
        <v>395</v>
      </c>
      <c r="I24" s="11" t="s">
        <v>59</v>
      </c>
      <c r="J24" s="11" t="s">
        <v>60</v>
      </c>
      <c r="K24" s="11"/>
      <c r="L24" s="11"/>
      <c r="M24" s="11"/>
      <c r="N24" s="11" t="str">
        <f aca="false">IF(A24="","",IF(SUBSTITUTE(SUBSTITUTE(B24," ",""),"|","")=A24,"OK","Split letters don't match"))</f>
        <v>OK</v>
      </c>
      <c r="O24" s="12" t="str">
        <f aca="false">IF(A24="","",IF(AND(J24="Approved",K24&lt;&gt;"",L24&lt;&gt;"",N24="OK"),"Ready","Not yet"))</f>
        <v>Not yet</v>
      </c>
    </row>
    <row r="25" customFormat="false" ht="15" hidden="false" customHeight="false" outlineLevel="0" collapsed="false">
      <c r="A25" s="11" t="s">
        <v>509</v>
      </c>
      <c r="B25" s="11" t="s">
        <v>510</v>
      </c>
      <c r="C25" s="11" t="s">
        <v>511</v>
      </c>
      <c r="D25" s="11" t="s">
        <v>512</v>
      </c>
      <c r="E25" s="11" t="s">
        <v>513</v>
      </c>
      <c r="F25" s="11" t="s">
        <v>498</v>
      </c>
      <c r="G25" s="11" t="s">
        <v>255</v>
      </c>
      <c r="H25" s="11" t="s">
        <v>395</v>
      </c>
      <c r="I25" s="11" t="s">
        <v>59</v>
      </c>
      <c r="J25" s="11" t="s">
        <v>60</v>
      </c>
      <c r="K25" s="11"/>
      <c r="L25" s="11"/>
      <c r="M25" s="11"/>
      <c r="N25" s="11" t="str">
        <f aca="false">IF(A25="","",IF(SUBSTITUTE(SUBSTITUTE(B25," ",""),"|","")=A25,"OK","Split letters don't match"))</f>
        <v>OK</v>
      </c>
      <c r="O25" s="12" t="str">
        <f aca="false">IF(A25="","",IF(AND(J25="Approved",K25&lt;&gt;"",L25&lt;&gt;"",N25="OK"),"Ready","Not yet"))</f>
        <v>Not yet</v>
      </c>
    </row>
    <row r="26" customFormat="false" ht="15" hidden="false" customHeight="false" outlineLevel="0" collapsed="false">
      <c r="A26" s="11" t="s">
        <v>514</v>
      </c>
      <c r="B26" s="11" t="s">
        <v>515</v>
      </c>
      <c r="C26" s="11" t="s">
        <v>516</v>
      </c>
      <c r="D26" s="11" t="s">
        <v>517</v>
      </c>
      <c r="E26" s="11" t="s">
        <v>518</v>
      </c>
      <c r="F26" s="11" t="s">
        <v>498</v>
      </c>
      <c r="G26" s="11" t="s">
        <v>264</v>
      </c>
      <c r="H26" s="11" t="s">
        <v>395</v>
      </c>
      <c r="I26" s="11" t="s">
        <v>59</v>
      </c>
      <c r="J26" s="11" t="s">
        <v>60</v>
      </c>
      <c r="K26" s="11"/>
      <c r="L26" s="11"/>
      <c r="M26" s="11"/>
      <c r="N26" s="11" t="str">
        <f aca="false">IF(A26="","",IF(SUBSTITUTE(SUBSTITUTE(B26," ",""),"|","")=A26,"OK","Split letters don't match"))</f>
        <v>OK</v>
      </c>
      <c r="O26" s="12" t="str">
        <f aca="false">IF(A26="","",IF(AND(J26="Approved",K26&lt;&gt;"",L26&lt;&gt;"",N26="OK"),"Ready","Not yet"))</f>
        <v>Not yet</v>
      </c>
    </row>
    <row r="27" customFormat="false" ht="15" hidden="false" customHeight="false" outlineLevel="0" collapsed="false">
      <c r="A27" s="11" t="s">
        <v>519</v>
      </c>
      <c r="B27" s="11" t="s">
        <v>520</v>
      </c>
      <c r="C27" s="11" t="s">
        <v>521</v>
      </c>
      <c r="D27" s="11" t="s">
        <v>522</v>
      </c>
      <c r="E27" s="11" t="s">
        <v>523</v>
      </c>
      <c r="F27" s="11" t="s">
        <v>498</v>
      </c>
      <c r="G27" s="11" t="s">
        <v>124</v>
      </c>
      <c r="H27" s="11" t="s">
        <v>395</v>
      </c>
      <c r="I27" s="11" t="s">
        <v>59</v>
      </c>
      <c r="J27" s="11" t="s">
        <v>60</v>
      </c>
      <c r="K27" s="11"/>
      <c r="L27" s="11"/>
      <c r="M27" s="11"/>
      <c r="N27" s="11" t="str">
        <f aca="false">IF(A27="","",IF(SUBSTITUTE(SUBSTITUTE(B27," ",""),"|","")=A27,"OK","Split letters don't match"))</f>
        <v>OK</v>
      </c>
      <c r="O27" s="12" t="str">
        <f aca="false">IF(A27="","",IF(AND(J27="Approved",K27&lt;&gt;"",L27&lt;&gt;"",N27="OK"),"Ready","Not yet"))</f>
        <v>Not yet</v>
      </c>
    </row>
    <row r="28" customFormat="false" ht="15" hidden="false" customHeight="false" outlineLevel="0" collapsed="false">
      <c r="A28" s="11" t="s">
        <v>524</v>
      </c>
      <c r="B28" s="11" t="s">
        <v>525</v>
      </c>
      <c r="C28" s="11" t="s">
        <v>526</v>
      </c>
      <c r="D28" s="11" t="s">
        <v>527</v>
      </c>
      <c r="E28" s="11" t="s">
        <v>528</v>
      </c>
      <c r="F28" s="11" t="s">
        <v>529</v>
      </c>
      <c r="G28" s="11" t="s">
        <v>183</v>
      </c>
      <c r="H28" s="11" t="s">
        <v>395</v>
      </c>
      <c r="I28" s="11" t="s">
        <v>59</v>
      </c>
      <c r="J28" s="11" t="s">
        <v>60</v>
      </c>
      <c r="K28" s="11"/>
      <c r="L28" s="11"/>
      <c r="M28" s="11"/>
      <c r="N28" s="11" t="str">
        <f aca="false">IF(A28="","",IF(SUBSTITUTE(SUBSTITUTE(B28," ",""),"|","")=A28,"OK","Split letters don't match"))</f>
        <v>OK</v>
      </c>
      <c r="O28" s="12" t="str">
        <f aca="false">IF(A28="","",IF(AND(J28="Approved",K28&lt;&gt;"",L28&lt;&gt;"",N28="OK"),"Ready","Not yet"))</f>
        <v>Not yet</v>
      </c>
    </row>
    <row r="29" customFormat="false" ht="15" hidden="false" customHeight="false" outlineLevel="0" collapsed="false">
      <c r="A29" s="11" t="s">
        <v>530</v>
      </c>
      <c r="B29" s="11" t="s">
        <v>531</v>
      </c>
      <c r="C29" s="11" t="s">
        <v>532</v>
      </c>
      <c r="D29" s="11" t="s">
        <v>533</v>
      </c>
      <c r="E29" s="11" t="s">
        <v>534</v>
      </c>
      <c r="F29" s="11" t="s">
        <v>529</v>
      </c>
      <c r="G29" s="11" t="s">
        <v>153</v>
      </c>
      <c r="H29" s="11" t="s">
        <v>395</v>
      </c>
      <c r="I29" s="11" t="s">
        <v>59</v>
      </c>
      <c r="J29" s="11" t="s">
        <v>60</v>
      </c>
      <c r="K29" s="11"/>
      <c r="L29" s="11"/>
      <c r="M29" s="11"/>
      <c r="N29" s="11" t="str">
        <f aca="false">IF(A29="","",IF(SUBSTITUTE(SUBSTITUTE(B29," ",""),"|","")=A29,"OK","Split letters don't match"))</f>
        <v>OK</v>
      </c>
      <c r="O29" s="12" t="str">
        <f aca="false">IF(A29="","",IF(AND(J29="Approved",K29&lt;&gt;"",L29&lt;&gt;"",N29="OK"),"Ready","Not yet"))</f>
        <v>Not yet</v>
      </c>
    </row>
    <row r="30" customFormat="false" ht="15" hidden="false" customHeight="false" outlineLevel="0" collapsed="false">
      <c r="A30" s="11" t="s">
        <v>535</v>
      </c>
      <c r="B30" s="11" t="s">
        <v>536</v>
      </c>
      <c r="C30" s="11" t="s">
        <v>537</v>
      </c>
      <c r="D30" s="11" t="s">
        <v>538</v>
      </c>
      <c r="E30" s="11" t="s">
        <v>539</v>
      </c>
      <c r="F30" s="11" t="s">
        <v>529</v>
      </c>
      <c r="G30" s="11" t="s">
        <v>57</v>
      </c>
      <c r="H30" s="11" t="s">
        <v>395</v>
      </c>
      <c r="I30" s="11" t="s">
        <v>59</v>
      </c>
      <c r="J30" s="11" t="s">
        <v>60</v>
      </c>
      <c r="K30" s="11"/>
      <c r="L30" s="11"/>
      <c r="M30" s="11"/>
      <c r="N30" s="11" t="str">
        <f aca="false">IF(A30="","",IF(SUBSTITUTE(SUBSTITUTE(B30," ",""),"|","")=A30,"OK","Split letters don't match"))</f>
        <v>OK</v>
      </c>
      <c r="O30" s="12" t="str">
        <f aca="false">IF(A30="","",IF(AND(J30="Approved",K30&lt;&gt;"",L30&lt;&gt;"",N30="OK"),"Ready","Not yet"))</f>
        <v>Not yet</v>
      </c>
    </row>
    <row r="31" customFormat="false" ht="15" hidden="false" customHeight="false" outlineLevel="0" collapsed="false">
      <c r="A31" s="11" t="s">
        <v>540</v>
      </c>
      <c r="B31" s="11" t="s">
        <v>541</v>
      </c>
      <c r="C31" s="11" t="s">
        <v>542</v>
      </c>
      <c r="D31" s="11" t="s">
        <v>543</v>
      </c>
      <c r="E31" s="11" t="s">
        <v>544</v>
      </c>
      <c r="F31" s="11" t="s">
        <v>529</v>
      </c>
      <c r="G31" s="11" t="s">
        <v>255</v>
      </c>
      <c r="H31" s="11" t="s">
        <v>395</v>
      </c>
      <c r="I31" s="11" t="s">
        <v>59</v>
      </c>
      <c r="J31" s="11" t="s">
        <v>60</v>
      </c>
      <c r="K31" s="11"/>
      <c r="L31" s="11"/>
      <c r="M31" s="11"/>
      <c r="N31" s="11" t="str">
        <f aca="false">IF(A31="","",IF(SUBSTITUTE(SUBSTITUTE(B31," ",""),"|","")=A31,"OK","Split letters don't match"))</f>
        <v>OK</v>
      </c>
      <c r="O31" s="12" t="str">
        <f aca="false">IF(A31="","",IF(AND(J31="Approved",K31&lt;&gt;"",L31&lt;&gt;"",N31="OK"),"Ready","Not yet"))</f>
        <v>Not yet</v>
      </c>
    </row>
    <row r="32" customFormat="false" ht="15" hidden="false" customHeight="false" outlineLevel="0" collapsed="false">
      <c r="A32" s="11" t="s">
        <v>545</v>
      </c>
      <c r="B32" s="11" t="s">
        <v>546</v>
      </c>
      <c r="C32" s="11" t="s">
        <v>547</v>
      </c>
      <c r="D32" s="11" t="s">
        <v>548</v>
      </c>
      <c r="E32" s="11" t="s">
        <v>549</v>
      </c>
      <c r="F32" s="11" t="s">
        <v>550</v>
      </c>
      <c r="G32" s="11" t="s">
        <v>192</v>
      </c>
      <c r="H32" s="11" t="s">
        <v>395</v>
      </c>
      <c r="I32" s="11" t="s">
        <v>59</v>
      </c>
      <c r="J32" s="11" t="s">
        <v>60</v>
      </c>
      <c r="K32" s="11"/>
      <c r="L32" s="11"/>
      <c r="M32" s="11"/>
      <c r="N32" s="11" t="str">
        <f aca="false">IF(A32="","",IF(SUBSTITUTE(SUBSTITUTE(B32," ",""),"|","")=A32,"OK","Split letters don't match"))</f>
        <v>OK</v>
      </c>
      <c r="O32" s="12" t="str">
        <f aca="false">IF(A32="","",IF(AND(J32="Approved",K32&lt;&gt;"",L32&lt;&gt;"",N32="OK"),"Ready","Not yet"))</f>
        <v>Not yet</v>
      </c>
    </row>
    <row r="33" customFormat="false" ht="15" hidden="false" customHeight="false" outlineLevel="0" collapsed="false">
      <c r="A33" s="11" t="s">
        <v>551</v>
      </c>
      <c r="B33" s="11" t="s">
        <v>552</v>
      </c>
      <c r="C33" s="11" t="s">
        <v>553</v>
      </c>
      <c r="D33" s="11" t="s">
        <v>554</v>
      </c>
      <c r="E33" s="11" t="s">
        <v>555</v>
      </c>
      <c r="F33" s="11" t="s">
        <v>377</v>
      </c>
      <c r="G33" s="11" t="s">
        <v>183</v>
      </c>
      <c r="H33" s="11" t="s">
        <v>395</v>
      </c>
      <c r="I33" s="11" t="s">
        <v>59</v>
      </c>
      <c r="J33" s="11" t="s">
        <v>60</v>
      </c>
      <c r="K33" s="11"/>
      <c r="L33" s="11"/>
      <c r="M33" s="11"/>
      <c r="N33" s="11" t="str">
        <f aca="false">IF(A33="","",IF(SUBSTITUTE(SUBSTITUTE(B33," ",""),"|","")=A33,"OK","Split letters don't match"))</f>
        <v>OK</v>
      </c>
      <c r="O33" s="12" t="str">
        <f aca="false">IF(A33="","",IF(AND(J33="Approved",K33&lt;&gt;"",L33&lt;&gt;"",N33="OK"),"Ready","Not yet"))</f>
        <v>Not yet</v>
      </c>
    </row>
    <row r="34" customFormat="false" ht="23.85" hidden="false" customHeight="false" outlineLevel="0" collapsed="false">
      <c r="A34" s="11" t="s">
        <v>556</v>
      </c>
      <c r="B34" s="11" t="s">
        <v>557</v>
      </c>
      <c r="C34" s="11" t="s">
        <v>558</v>
      </c>
      <c r="D34" s="11" t="s">
        <v>559</v>
      </c>
      <c r="E34" s="11" t="s">
        <v>560</v>
      </c>
      <c r="F34" s="11" t="s">
        <v>377</v>
      </c>
      <c r="G34" s="11" t="s">
        <v>109</v>
      </c>
      <c r="H34" s="11" t="s">
        <v>395</v>
      </c>
      <c r="I34" s="11" t="s">
        <v>59</v>
      </c>
      <c r="J34" s="11" t="s">
        <v>60</v>
      </c>
      <c r="K34" s="11"/>
      <c r="L34" s="11"/>
      <c r="M34" s="11"/>
      <c r="N34" s="11" t="str">
        <f aca="false">IF(A34="","",IF(SUBSTITUTE(SUBSTITUTE(B34," ",""),"|","")=A34,"OK","Split letters don't match"))</f>
        <v>OK</v>
      </c>
      <c r="O34" s="12" t="str">
        <f aca="false">IF(A34="","",IF(AND(J34="Approved",K34&lt;&gt;"",L34&lt;&gt;"",N34="OK"),"Ready","Not yet"))</f>
        <v>Not yet</v>
      </c>
    </row>
    <row r="35" customFormat="false" ht="15" hidden="false" customHeight="false" outlineLevel="0" collapsed="false">
      <c r="A35" s="11" t="s">
        <v>561</v>
      </c>
      <c r="B35" s="11" t="s">
        <v>562</v>
      </c>
      <c r="C35" s="11" t="s">
        <v>563</v>
      </c>
      <c r="D35" s="11" t="s">
        <v>564</v>
      </c>
      <c r="E35" s="11" t="s">
        <v>565</v>
      </c>
      <c r="F35" s="11" t="s">
        <v>487</v>
      </c>
      <c r="G35" s="11" t="s">
        <v>57</v>
      </c>
      <c r="H35" s="11" t="s">
        <v>395</v>
      </c>
      <c r="I35" s="11" t="s">
        <v>59</v>
      </c>
      <c r="J35" s="11" t="s">
        <v>60</v>
      </c>
      <c r="K35" s="11"/>
      <c r="L35" s="11"/>
      <c r="M35" s="11"/>
      <c r="N35" s="11" t="str">
        <f aca="false">IF(A35="","",IF(SUBSTITUTE(SUBSTITUTE(B35," ",""),"|","")=A35,"OK","Split letters don't match"))</f>
        <v>OK</v>
      </c>
      <c r="O35" s="12" t="str">
        <f aca="false">IF(A35="","",IF(AND(J35="Approved",K35&lt;&gt;"",L35&lt;&gt;"",N35="OK"),"Ready","Not yet"))</f>
        <v>Not yet</v>
      </c>
    </row>
    <row r="36" customFormat="false" ht="15" hidden="false" customHeight="false" outlineLevel="0" collapsed="false">
      <c r="A36" s="11" t="s">
        <v>566</v>
      </c>
      <c r="B36" s="11" t="s">
        <v>567</v>
      </c>
      <c r="C36" s="11" t="s">
        <v>568</v>
      </c>
      <c r="D36" s="11" t="s">
        <v>569</v>
      </c>
      <c r="E36" s="11" t="s">
        <v>570</v>
      </c>
      <c r="F36" s="11" t="s">
        <v>377</v>
      </c>
      <c r="G36" s="11" t="s">
        <v>153</v>
      </c>
      <c r="H36" s="11" t="s">
        <v>395</v>
      </c>
      <c r="I36" s="11" t="s">
        <v>59</v>
      </c>
      <c r="J36" s="11" t="s">
        <v>60</v>
      </c>
      <c r="K36" s="11"/>
      <c r="L36" s="11"/>
      <c r="M36" s="11"/>
      <c r="N36" s="11" t="str">
        <f aca="false">IF(A36="","",IF(SUBSTITUTE(SUBSTITUTE(B36," ",""),"|","")=A36,"OK","Split letters don't match"))</f>
        <v>OK</v>
      </c>
      <c r="O36" s="12" t="str">
        <f aca="false">IF(A36="","",IF(AND(J36="Approved",K36&lt;&gt;"",L36&lt;&gt;"",N36="OK"),"Ready","Not yet"))</f>
        <v>Not yet</v>
      </c>
    </row>
    <row r="37" customFormat="false" ht="15" hidden="false" customHeight="false" outlineLevel="0" collapsed="false">
      <c r="A37" s="11" t="s">
        <v>571</v>
      </c>
      <c r="B37" s="11" t="s">
        <v>572</v>
      </c>
      <c r="C37" s="11" t="s">
        <v>573</v>
      </c>
      <c r="D37" s="11" t="s">
        <v>574</v>
      </c>
      <c r="E37" s="11" t="s">
        <v>575</v>
      </c>
      <c r="F37" s="11" t="s">
        <v>576</v>
      </c>
      <c r="G37" s="11" t="s">
        <v>217</v>
      </c>
      <c r="H37" s="11" t="s">
        <v>395</v>
      </c>
      <c r="I37" s="11" t="s">
        <v>59</v>
      </c>
      <c r="J37" s="11" t="s">
        <v>60</v>
      </c>
      <c r="K37" s="11"/>
      <c r="L37" s="11"/>
      <c r="M37" s="11"/>
      <c r="N37" s="11" t="str">
        <f aca="false">IF(A37="","",IF(SUBSTITUTE(SUBSTITUTE(B37," ",""),"|","")=A37,"OK","Split letters don't match"))</f>
        <v>OK</v>
      </c>
      <c r="O37" s="12" t="str">
        <f aca="false">IF(A37="","",IF(AND(J37="Approved",K37&lt;&gt;"",L37&lt;&gt;"",N37="OK"),"Ready","Not yet"))</f>
        <v>Not yet</v>
      </c>
    </row>
    <row r="38" customFormat="false" ht="15" hidden="false" customHeight="false" outlineLevel="0" collapsed="false">
      <c r="A38" s="11" t="s">
        <v>577</v>
      </c>
      <c r="B38" s="11" t="s">
        <v>578</v>
      </c>
      <c r="C38" s="11" t="s">
        <v>579</v>
      </c>
      <c r="D38" s="11" t="s">
        <v>580</v>
      </c>
      <c r="E38" s="11" t="s">
        <v>581</v>
      </c>
      <c r="F38" s="11" t="s">
        <v>576</v>
      </c>
      <c r="G38" s="11" t="s">
        <v>217</v>
      </c>
      <c r="H38" s="11" t="s">
        <v>395</v>
      </c>
      <c r="I38" s="11" t="s">
        <v>59</v>
      </c>
      <c r="J38" s="11" t="s">
        <v>60</v>
      </c>
      <c r="K38" s="11"/>
      <c r="L38" s="11"/>
      <c r="M38" s="11"/>
      <c r="N38" s="11" t="str">
        <f aca="false">IF(A38="","",IF(SUBSTITUTE(SUBSTITUTE(B38," ",""),"|","")=A38,"OK","Split letters don't match"))</f>
        <v>OK</v>
      </c>
      <c r="O38" s="12" t="str">
        <f aca="false">IF(A38="","",IF(AND(J38="Approved",K38&lt;&gt;"",L38&lt;&gt;"",N38="OK"),"Ready","Not yet"))</f>
        <v>Not yet</v>
      </c>
    </row>
    <row r="39" customFormat="false" ht="15" hidden="false" customHeight="false" outlineLevel="0" collapsed="false">
      <c r="A39" s="11" t="s">
        <v>582</v>
      </c>
      <c r="B39" s="11" t="s">
        <v>583</v>
      </c>
      <c r="C39" s="11" t="s">
        <v>584</v>
      </c>
      <c r="D39" s="11" t="s">
        <v>585</v>
      </c>
      <c r="E39" s="11" t="s">
        <v>586</v>
      </c>
      <c r="F39" s="11" t="s">
        <v>576</v>
      </c>
      <c r="G39" s="11" t="s">
        <v>217</v>
      </c>
      <c r="H39" s="11" t="s">
        <v>395</v>
      </c>
      <c r="I39" s="11" t="s">
        <v>59</v>
      </c>
      <c r="J39" s="11" t="s">
        <v>60</v>
      </c>
      <c r="K39" s="11"/>
      <c r="L39" s="11"/>
      <c r="M39" s="11"/>
      <c r="N39" s="11" t="str">
        <f aca="false">IF(A39="","",IF(SUBSTITUTE(SUBSTITUTE(B39," ",""),"|","")=A39,"OK","Split letters don't match"))</f>
        <v>OK</v>
      </c>
      <c r="O39" s="12" t="str">
        <f aca="false">IF(A39="","",IF(AND(J39="Approved",K39&lt;&gt;"",L39&lt;&gt;"",N39="OK"),"Ready","Not yet"))</f>
        <v>Not yet</v>
      </c>
    </row>
    <row r="40" customFormat="false" ht="15" hidden="false" customHeight="false" outlineLevel="0" collapsed="false">
      <c r="A40" s="11" t="s">
        <v>587</v>
      </c>
      <c r="B40" s="11" t="s">
        <v>588</v>
      </c>
      <c r="C40" s="11" t="s">
        <v>589</v>
      </c>
      <c r="D40" s="11" t="s">
        <v>590</v>
      </c>
      <c r="E40" s="11" t="s">
        <v>591</v>
      </c>
      <c r="F40" s="11" t="s">
        <v>377</v>
      </c>
      <c r="G40" s="11" t="s">
        <v>217</v>
      </c>
      <c r="H40" s="11" t="s">
        <v>395</v>
      </c>
      <c r="I40" s="11" t="s">
        <v>59</v>
      </c>
      <c r="J40" s="11" t="s">
        <v>60</v>
      </c>
      <c r="K40" s="11"/>
      <c r="L40" s="11"/>
      <c r="M40" s="11"/>
      <c r="N40" s="11" t="str">
        <f aca="false">IF(A40="","",IF(SUBSTITUTE(SUBSTITUTE(B40," ",""),"|","")=A40,"OK","Split letters don't match"))</f>
        <v>OK</v>
      </c>
      <c r="O40" s="12" t="str">
        <f aca="false">IF(A40="","",IF(AND(J40="Approved",K40&lt;&gt;"",L40&lt;&gt;"",N40="OK"),"Ready","Not yet"))</f>
        <v>Not yet</v>
      </c>
    </row>
    <row r="41" customFormat="false" ht="15" hidden="false" customHeight="false" outlineLevel="0" collapsed="false">
      <c r="A41" s="11" t="s">
        <v>592</v>
      </c>
      <c r="B41" s="11" t="s">
        <v>593</v>
      </c>
      <c r="C41" s="11" t="s">
        <v>594</v>
      </c>
      <c r="D41" s="11" t="s">
        <v>595</v>
      </c>
      <c r="E41" s="11" t="s">
        <v>596</v>
      </c>
      <c r="F41" s="11" t="s">
        <v>487</v>
      </c>
      <c r="G41" s="11" t="s">
        <v>119</v>
      </c>
      <c r="H41" s="11" t="s">
        <v>395</v>
      </c>
      <c r="I41" s="11" t="s">
        <v>59</v>
      </c>
      <c r="J41" s="11" t="s">
        <v>60</v>
      </c>
      <c r="K41" s="11"/>
      <c r="L41" s="11"/>
      <c r="M41" s="11"/>
      <c r="N41" s="11" t="str">
        <f aca="false">IF(A41="","",IF(SUBSTITUTE(SUBSTITUTE(B41," ",""),"|","")=A41,"OK","Split letters don't match"))</f>
        <v>OK</v>
      </c>
      <c r="O41" s="12" t="str">
        <f aca="false">IF(A41="","",IF(AND(J41="Approved",K41&lt;&gt;"",L41&lt;&gt;"",N41="OK"),"Ready","Not yet"))</f>
        <v>Not yet</v>
      </c>
    </row>
    <row r="42" customFormat="false" ht="15" hidden="false" customHeight="false" outlineLevel="0" collapsed="false">
      <c r="A42" s="11" t="s">
        <v>597</v>
      </c>
      <c r="B42" s="11" t="s">
        <v>598</v>
      </c>
      <c r="C42" s="11" t="s">
        <v>599</v>
      </c>
      <c r="D42" s="11" t="s">
        <v>600</v>
      </c>
      <c r="E42" s="11" t="s">
        <v>601</v>
      </c>
      <c r="F42" s="11" t="s">
        <v>498</v>
      </c>
      <c r="G42" s="11" t="s">
        <v>192</v>
      </c>
      <c r="H42" s="11" t="s">
        <v>395</v>
      </c>
      <c r="I42" s="11" t="s">
        <v>59</v>
      </c>
      <c r="J42" s="11" t="s">
        <v>60</v>
      </c>
      <c r="K42" s="11"/>
      <c r="L42" s="11"/>
      <c r="M42" s="11"/>
      <c r="N42" s="11" t="str">
        <f aca="false">IF(A42="","",IF(SUBSTITUTE(SUBSTITUTE(B42," ",""),"|","")=A42,"OK","Split letters don't match"))</f>
        <v>OK</v>
      </c>
      <c r="O42" s="12" t="str">
        <f aca="false">IF(A42="","",IF(AND(J42="Approved",K42&lt;&gt;"",L42&lt;&gt;"",N42="OK"),"Ready","Not yet"))</f>
        <v>Not yet</v>
      </c>
    </row>
    <row r="43" customFormat="false" ht="15" hidden="false" customHeight="false" outlineLevel="0" collapsed="false">
      <c r="A43" s="11" t="s">
        <v>602</v>
      </c>
      <c r="B43" s="11" t="s">
        <v>603</v>
      </c>
      <c r="C43" s="11" t="s">
        <v>604</v>
      </c>
      <c r="D43" s="11" t="s">
        <v>605</v>
      </c>
      <c r="E43" s="11" t="s">
        <v>606</v>
      </c>
      <c r="F43" s="11" t="s">
        <v>377</v>
      </c>
      <c r="G43" s="11" t="s">
        <v>217</v>
      </c>
      <c r="H43" s="11" t="s">
        <v>607</v>
      </c>
      <c r="I43" s="11" t="s">
        <v>59</v>
      </c>
      <c r="J43" s="11" t="s">
        <v>60</v>
      </c>
      <c r="K43" s="11"/>
      <c r="L43" s="11"/>
      <c r="M43" s="11"/>
      <c r="N43" s="11" t="str">
        <f aca="false">IF(A43="","",IF(SUBSTITUTE(SUBSTITUTE(B43," ",""),"|","")=A43,"OK","Split letters don't match"))</f>
        <v>OK</v>
      </c>
      <c r="O43" s="12" t="str">
        <f aca="false">IF(A43="","",IF(AND(J43="Approved",K43&lt;&gt;"",L43&lt;&gt;"",N43="OK"),"Ready","Not yet"))</f>
        <v>Not yet</v>
      </c>
    </row>
    <row r="44" customFormat="false" ht="15" hidden="false" customHeight="false" outlineLevel="0" collapsed="false">
      <c r="A44" s="11" t="s">
        <v>608</v>
      </c>
      <c r="B44" s="11" t="s">
        <v>609</v>
      </c>
      <c r="C44" s="11" t="s">
        <v>610</v>
      </c>
      <c r="D44" s="11" t="s">
        <v>611</v>
      </c>
      <c r="E44" s="11" t="s">
        <v>612</v>
      </c>
      <c r="F44" s="11" t="s">
        <v>498</v>
      </c>
      <c r="G44" s="11" t="s">
        <v>119</v>
      </c>
      <c r="H44" s="11" t="s">
        <v>607</v>
      </c>
      <c r="I44" s="11" t="s">
        <v>59</v>
      </c>
      <c r="J44" s="11" t="s">
        <v>60</v>
      </c>
      <c r="K44" s="11"/>
      <c r="L44" s="11"/>
      <c r="M44" s="11"/>
      <c r="N44" s="11" t="str">
        <f aca="false">IF(A44="","",IF(SUBSTITUTE(SUBSTITUTE(B44," ",""),"|","")=A44,"OK","Split letters don't match"))</f>
        <v>OK</v>
      </c>
      <c r="O44" s="12" t="str">
        <f aca="false">IF(A44="","",IF(AND(J44="Approved",K44&lt;&gt;"",L44&lt;&gt;"",N44="OK"),"Ready","Not yet"))</f>
        <v>Not yet</v>
      </c>
    </row>
    <row r="45" customFormat="false" ht="15" hidden="false" customHeight="false" outlineLevel="0" collapsed="false">
      <c r="A45" s="11" t="s">
        <v>613</v>
      </c>
      <c r="B45" s="11" t="s">
        <v>614</v>
      </c>
      <c r="C45" s="11" t="s">
        <v>615</v>
      </c>
      <c r="D45" s="11" t="s">
        <v>616</v>
      </c>
      <c r="E45" s="11" t="s">
        <v>617</v>
      </c>
      <c r="F45" s="11" t="s">
        <v>487</v>
      </c>
      <c r="G45" s="11" t="s">
        <v>192</v>
      </c>
      <c r="H45" s="11" t="s">
        <v>607</v>
      </c>
      <c r="I45" s="11" t="s">
        <v>59</v>
      </c>
      <c r="J45" s="11" t="s">
        <v>60</v>
      </c>
      <c r="K45" s="11"/>
      <c r="L45" s="11"/>
      <c r="M45" s="11"/>
      <c r="N45" s="11" t="str">
        <f aca="false">IF(A45="","",IF(SUBSTITUTE(SUBSTITUTE(B45," ",""),"|","")=A45,"OK","Split letters don't match"))</f>
        <v>OK</v>
      </c>
      <c r="O45" s="12" t="str">
        <f aca="false">IF(A45="","",IF(AND(J45="Approved",K45&lt;&gt;"",L45&lt;&gt;"",N45="OK"),"Ready","Not yet"))</f>
        <v>Not yet</v>
      </c>
    </row>
    <row r="46" customFormat="false" ht="15" hidden="false" customHeight="false" outlineLevel="0" collapsed="false">
      <c r="A46" s="11" t="s">
        <v>618</v>
      </c>
      <c r="B46" s="11" t="s">
        <v>619</v>
      </c>
      <c r="C46" s="11" t="s">
        <v>620</v>
      </c>
      <c r="D46" s="11" t="s">
        <v>621</v>
      </c>
      <c r="E46" s="11" t="s">
        <v>622</v>
      </c>
      <c r="F46" s="11" t="s">
        <v>487</v>
      </c>
      <c r="G46" s="11" t="s">
        <v>192</v>
      </c>
      <c r="H46" s="11" t="s">
        <v>607</v>
      </c>
      <c r="I46" s="11" t="s">
        <v>59</v>
      </c>
      <c r="J46" s="11" t="s">
        <v>60</v>
      </c>
      <c r="K46" s="11"/>
      <c r="L46" s="11"/>
      <c r="M46" s="11"/>
      <c r="N46" s="11" t="str">
        <f aca="false">IF(A46="","",IF(SUBSTITUTE(SUBSTITUTE(B46," ",""),"|","")=A46,"OK","Split letters don't match"))</f>
        <v>OK</v>
      </c>
      <c r="O46" s="12" t="str">
        <f aca="false">IF(A46="","",IF(AND(J46="Approved",K46&lt;&gt;"",L46&lt;&gt;"",N46="OK"),"Ready","Not yet"))</f>
        <v>Not yet</v>
      </c>
    </row>
    <row r="47" customFormat="false" ht="15" hidden="false" customHeight="false" outlineLevel="0" collapsed="false">
      <c r="A47" s="11" t="s">
        <v>623</v>
      </c>
      <c r="B47" s="11" t="s">
        <v>624</v>
      </c>
      <c r="C47" s="11" t="s">
        <v>625</v>
      </c>
      <c r="D47" s="11" t="s">
        <v>626</v>
      </c>
      <c r="E47" s="11" t="s">
        <v>627</v>
      </c>
      <c r="F47" s="11" t="s">
        <v>498</v>
      </c>
      <c r="G47" s="11" t="s">
        <v>192</v>
      </c>
      <c r="H47" s="11" t="s">
        <v>607</v>
      </c>
      <c r="I47" s="11" t="s">
        <v>59</v>
      </c>
      <c r="J47" s="11" t="s">
        <v>60</v>
      </c>
      <c r="K47" s="11"/>
      <c r="L47" s="11"/>
      <c r="M47" s="11"/>
      <c r="N47" s="11" t="str">
        <f aca="false">IF(A47="","",IF(SUBSTITUTE(SUBSTITUTE(B47," ",""),"|","")=A47,"OK","Split letters don't match"))</f>
        <v>OK</v>
      </c>
      <c r="O47" s="12" t="str">
        <f aca="false">IF(A47="","",IF(AND(J47="Approved",K47&lt;&gt;"",L47&lt;&gt;"",N47="OK"),"Ready","Not yet"))</f>
        <v>Not yet</v>
      </c>
    </row>
    <row r="48" customFormat="false" ht="15" hidden="false" customHeight="false" outlineLevel="0" collapsed="false">
      <c r="A48" s="11" t="s">
        <v>628</v>
      </c>
      <c r="B48" s="11" t="s">
        <v>629</v>
      </c>
      <c r="C48" s="11" t="s">
        <v>630</v>
      </c>
      <c r="D48" s="11" t="s">
        <v>631</v>
      </c>
      <c r="E48" s="11" t="s">
        <v>632</v>
      </c>
      <c r="F48" s="11" t="s">
        <v>487</v>
      </c>
      <c r="G48" s="11" t="s">
        <v>109</v>
      </c>
      <c r="H48" s="11" t="s">
        <v>607</v>
      </c>
      <c r="I48" s="11" t="s">
        <v>59</v>
      </c>
      <c r="J48" s="11" t="s">
        <v>60</v>
      </c>
      <c r="K48" s="11"/>
      <c r="L48" s="11"/>
      <c r="M48" s="11"/>
      <c r="N48" s="11" t="str">
        <f aca="false">IF(A48="","",IF(SUBSTITUTE(SUBSTITUTE(B48," ",""),"|","")=A48,"OK","Split letters don't match"))</f>
        <v>OK</v>
      </c>
      <c r="O48" s="12" t="str">
        <f aca="false">IF(A48="","",IF(AND(J48="Approved",K48&lt;&gt;"",L48&lt;&gt;"",N48="OK"),"Ready","Not yet"))</f>
        <v>Not yet</v>
      </c>
    </row>
    <row r="49" customFormat="false" ht="15" hidden="false" customHeight="false" outlineLevel="0" collapsed="false">
      <c r="A49" s="11" t="s">
        <v>633</v>
      </c>
      <c r="B49" s="11" t="s">
        <v>634</v>
      </c>
      <c r="C49" s="11" t="s">
        <v>635</v>
      </c>
      <c r="D49" s="11" t="s">
        <v>636</v>
      </c>
      <c r="E49" s="11" t="s">
        <v>637</v>
      </c>
      <c r="F49" s="11" t="s">
        <v>487</v>
      </c>
      <c r="G49" s="11" t="s">
        <v>109</v>
      </c>
      <c r="H49" s="11" t="s">
        <v>607</v>
      </c>
      <c r="I49" s="11" t="s">
        <v>59</v>
      </c>
      <c r="J49" s="11" t="s">
        <v>60</v>
      </c>
      <c r="K49" s="11"/>
      <c r="L49" s="11"/>
      <c r="M49" s="11"/>
      <c r="N49" s="11" t="str">
        <f aca="false">IF(A49="","",IF(SUBSTITUTE(SUBSTITUTE(B49," ",""),"|","")=A49,"OK","Split letters don't match"))</f>
        <v>OK</v>
      </c>
      <c r="O49" s="12" t="str">
        <f aca="false">IF(A49="","",IF(AND(J49="Approved",K49&lt;&gt;"",L49&lt;&gt;"",N49="OK"),"Ready","Not yet"))</f>
        <v>Not yet</v>
      </c>
    </row>
    <row r="50" customFormat="false" ht="15" hidden="false" customHeight="false" outlineLevel="0" collapsed="false">
      <c r="A50" s="11" t="s">
        <v>638</v>
      </c>
      <c r="B50" s="11" t="s">
        <v>639</v>
      </c>
      <c r="C50" s="11" t="s">
        <v>640</v>
      </c>
      <c r="D50" s="11" t="s">
        <v>641</v>
      </c>
      <c r="E50" s="11" t="s">
        <v>642</v>
      </c>
      <c r="F50" s="11" t="s">
        <v>377</v>
      </c>
      <c r="G50" s="11" t="s">
        <v>234</v>
      </c>
      <c r="H50" s="11" t="s">
        <v>607</v>
      </c>
      <c r="I50" s="11" t="s">
        <v>59</v>
      </c>
      <c r="J50" s="11" t="s">
        <v>60</v>
      </c>
      <c r="K50" s="11"/>
      <c r="L50" s="11"/>
      <c r="M50" s="11"/>
      <c r="N50" s="11" t="str">
        <f aca="false">IF(A50="","",IF(SUBSTITUTE(SUBSTITUTE(B50," ",""),"|","")=A50,"OK","Split letters don't match"))</f>
        <v>OK</v>
      </c>
      <c r="O50" s="12" t="str">
        <f aca="false">IF(A50="","",IF(AND(J50="Approved",K50&lt;&gt;"",L50&lt;&gt;"",N50="OK"),"Ready","Not yet"))</f>
        <v>Not yet</v>
      </c>
    </row>
    <row r="51" customFormat="false" ht="15" hidden="false" customHeight="false" outlineLevel="0" collapsed="false">
      <c r="A51" s="11" t="s">
        <v>643</v>
      </c>
      <c r="B51" s="11" t="s">
        <v>644</v>
      </c>
      <c r="C51" s="11" t="s">
        <v>645</v>
      </c>
      <c r="D51" s="11" t="s">
        <v>646</v>
      </c>
      <c r="E51" s="11" t="s">
        <v>647</v>
      </c>
      <c r="F51" s="11" t="s">
        <v>377</v>
      </c>
      <c r="G51" s="11" t="s">
        <v>234</v>
      </c>
      <c r="H51" s="11" t="s">
        <v>607</v>
      </c>
      <c r="I51" s="11" t="s">
        <v>59</v>
      </c>
      <c r="J51" s="11" t="s">
        <v>60</v>
      </c>
      <c r="K51" s="11"/>
      <c r="L51" s="11"/>
      <c r="M51" s="11"/>
      <c r="N51" s="11" t="str">
        <f aca="false">IF(A51="","",IF(SUBSTITUTE(SUBSTITUTE(B51," ",""),"|","")=A51,"OK","Split letters don't match"))</f>
        <v>OK</v>
      </c>
      <c r="O51" s="12" t="str">
        <f aca="false">IF(A51="","",IF(AND(J51="Approved",K51&lt;&gt;"",L51&lt;&gt;"",N51="OK"),"Ready","Not yet"))</f>
        <v>Not yet</v>
      </c>
    </row>
    <row r="52" customFormat="false" ht="15" hidden="false" customHeight="false" outlineLevel="0" collapsed="false">
      <c r="A52" s="11" t="s">
        <v>648</v>
      </c>
      <c r="B52" s="11" t="s">
        <v>649</v>
      </c>
      <c r="C52" s="11" t="s">
        <v>650</v>
      </c>
      <c r="D52" s="11" t="s">
        <v>651</v>
      </c>
      <c r="E52" s="11" t="s">
        <v>652</v>
      </c>
      <c r="F52" s="11" t="s">
        <v>377</v>
      </c>
      <c r="G52" s="11" t="s">
        <v>109</v>
      </c>
      <c r="H52" s="11" t="s">
        <v>607</v>
      </c>
      <c r="I52" s="11" t="s">
        <v>59</v>
      </c>
      <c r="J52" s="11" t="s">
        <v>60</v>
      </c>
      <c r="K52" s="11"/>
      <c r="L52" s="11"/>
      <c r="M52" s="11"/>
      <c r="N52" s="11" t="str">
        <f aca="false">IF(A52="","",IF(SUBSTITUTE(SUBSTITUTE(B52," ",""),"|","")=A52,"OK","Split letters don't match"))</f>
        <v>OK</v>
      </c>
      <c r="O52" s="12" t="str">
        <f aca="false">IF(A52="","",IF(AND(J52="Approved",K52&lt;&gt;"",L52&lt;&gt;"",N52="OK"),"Ready","Not yet"))</f>
        <v>Not yet</v>
      </c>
    </row>
    <row r="53" customFormat="false" ht="15" hidden="false" customHeight="false" outlineLevel="0" collapsed="false">
      <c r="A53" s="11" t="s">
        <v>653</v>
      </c>
      <c r="B53" s="11" t="s">
        <v>654</v>
      </c>
      <c r="C53" s="11" t="s">
        <v>655</v>
      </c>
      <c r="D53" s="11" t="s">
        <v>656</v>
      </c>
      <c r="E53" s="11" t="s">
        <v>657</v>
      </c>
      <c r="F53" s="11" t="s">
        <v>377</v>
      </c>
      <c r="G53" s="11" t="s">
        <v>109</v>
      </c>
      <c r="H53" s="11" t="s">
        <v>607</v>
      </c>
      <c r="I53" s="11" t="s">
        <v>59</v>
      </c>
      <c r="J53" s="11" t="s">
        <v>60</v>
      </c>
      <c r="K53" s="11"/>
      <c r="L53" s="11"/>
      <c r="M53" s="11"/>
      <c r="N53" s="11" t="str">
        <f aca="false">IF(A53="","",IF(SUBSTITUTE(SUBSTITUTE(B53," ",""),"|","")=A53,"OK","Split letters don't match"))</f>
        <v>OK</v>
      </c>
      <c r="O53" s="12" t="str">
        <f aca="false">IF(A53="","",IF(AND(J53="Approved",K53&lt;&gt;"",L53&lt;&gt;"",N53="OK"),"Ready","Not yet"))</f>
        <v>Not yet</v>
      </c>
    </row>
    <row r="54" customFormat="false" ht="15" hidden="false" customHeight="false" outlineLevel="0" collapsed="false">
      <c r="A54" s="11" t="s">
        <v>658</v>
      </c>
      <c r="B54" s="11" t="s">
        <v>659</v>
      </c>
      <c r="C54" s="11" t="s">
        <v>660</v>
      </c>
      <c r="D54" s="11" t="s">
        <v>661</v>
      </c>
      <c r="E54" s="11" t="s">
        <v>662</v>
      </c>
      <c r="F54" s="11" t="s">
        <v>498</v>
      </c>
      <c r="G54" s="11" t="s">
        <v>114</v>
      </c>
      <c r="H54" s="11" t="s">
        <v>607</v>
      </c>
      <c r="I54" s="11" t="s">
        <v>59</v>
      </c>
      <c r="J54" s="11" t="s">
        <v>60</v>
      </c>
      <c r="K54" s="11"/>
      <c r="L54" s="11"/>
      <c r="M54" s="11"/>
      <c r="N54" s="11" t="str">
        <f aca="false">IF(A54="","",IF(SUBSTITUTE(SUBSTITUTE(B54," ",""),"|","")=A54,"OK","Split letters don't match"))</f>
        <v>OK</v>
      </c>
      <c r="O54" s="12" t="str">
        <f aca="false">IF(A54="","",IF(AND(J54="Approved",K54&lt;&gt;"",L54&lt;&gt;"",N54="OK"),"Ready","Not yet"))</f>
        <v>Not yet</v>
      </c>
    </row>
    <row r="55" customFormat="false" ht="15" hidden="false" customHeight="false" outlineLevel="0" collapsed="false">
      <c r="A55" s="11" t="s">
        <v>663</v>
      </c>
      <c r="B55" s="11" t="s">
        <v>664</v>
      </c>
      <c r="C55" s="11" t="s">
        <v>665</v>
      </c>
      <c r="D55" s="11" t="s">
        <v>666</v>
      </c>
      <c r="E55" s="11" t="s">
        <v>667</v>
      </c>
      <c r="F55" s="11" t="s">
        <v>487</v>
      </c>
      <c r="G55" s="11" t="s">
        <v>153</v>
      </c>
      <c r="H55" s="11" t="s">
        <v>607</v>
      </c>
      <c r="I55" s="11" t="s">
        <v>59</v>
      </c>
      <c r="J55" s="11" t="s">
        <v>60</v>
      </c>
      <c r="K55" s="11"/>
      <c r="L55" s="11"/>
      <c r="M55" s="11"/>
      <c r="N55" s="11" t="str">
        <f aca="false">IF(A55="","",IF(SUBSTITUTE(SUBSTITUTE(B55," ",""),"|","")=A55,"OK","Split letters don't match"))</f>
        <v>OK</v>
      </c>
      <c r="O55" s="12" t="str">
        <f aca="false">IF(A55="","",IF(AND(J55="Approved",K55&lt;&gt;"",L55&lt;&gt;"",N55="OK"),"Ready","Not yet"))</f>
        <v>Not yet</v>
      </c>
    </row>
    <row r="56" customFormat="false" ht="15" hidden="false" customHeight="false" outlineLevel="0" collapsed="false">
      <c r="A56" s="11" t="s">
        <v>668</v>
      </c>
      <c r="B56" s="11" t="s">
        <v>669</v>
      </c>
      <c r="C56" s="11" t="s">
        <v>670</v>
      </c>
      <c r="D56" s="11" t="s">
        <v>671</v>
      </c>
      <c r="E56" s="11" t="s">
        <v>672</v>
      </c>
      <c r="F56" s="11" t="s">
        <v>498</v>
      </c>
      <c r="G56" s="11" t="s">
        <v>114</v>
      </c>
      <c r="H56" s="11" t="s">
        <v>607</v>
      </c>
      <c r="I56" s="11" t="s">
        <v>59</v>
      </c>
      <c r="J56" s="11" t="s">
        <v>60</v>
      </c>
      <c r="K56" s="11"/>
      <c r="L56" s="11"/>
      <c r="M56" s="11"/>
      <c r="N56" s="11" t="str">
        <f aca="false">IF(A56="","",IF(SUBSTITUTE(SUBSTITUTE(B56," ",""),"|","")=A56,"OK","Split letters don't match"))</f>
        <v>OK</v>
      </c>
      <c r="O56" s="12" t="str">
        <f aca="false">IF(A56="","",IF(AND(J56="Approved",K56&lt;&gt;"",L56&lt;&gt;"",N56="OK"),"Ready","Not yet"))</f>
        <v>Not yet</v>
      </c>
    </row>
    <row r="57" customFormat="false" ht="15" hidden="false" customHeight="false" outlineLevel="0" collapsed="false">
      <c r="A57" s="11" t="s">
        <v>673</v>
      </c>
      <c r="B57" s="11" t="s">
        <v>674</v>
      </c>
      <c r="C57" s="11" t="s">
        <v>675</v>
      </c>
      <c r="D57" s="11" t="s">
        <v>676</v>
      </c>
      <c r="E57" s="11" t="s">
        <v>677</v>
      </c>
      <c r="F57" s="11" t="s">
        <v>550</v>
      </c>
      <c r="G57" s="11" t="s">
        <v>57</v>
      </c>
      <c r="H57" s="11" t="s">
        <v>607</v>
      </c>
      <c r="I57" s="11" t="s">
        <v>59</v>
      </c>
      <c r="J57" s="11" t="s">
        <v>60</v>
      </c>
      <c r="K57" s="11"/>
      <c r="L57" s="11"/>
      <c r="M57" s="11"/>
      <c r="N57" s="11" t="str">
        <f aca="false">IF(A57="","",IF(SUBSTITUTE(SUBSTITUTE(B57," ",""),"|","")=A57,"OK","Split letters don't match"))</f>
        <v>OK</v>
      </c>
      <c r="O57" s="12" t="str">
        <f aca="false">IF(A57="","",IF(AND(J57="Approved",K57&lt;&gt;"",L57&lt;&gt;"",N57="OK"),"Ready","Not yet"))</f>
        <v>Not yet</v>
      </c>
    </row>
    <row r="58" customFormat="false" ht="15" hidden="false" customHeight="false" outlineLevel="0" collapsed="false">
      <c r="A58" s="11" t="s">
        <v>678</v>
      </c>
      <c r="B58" s="11" t="s">
        <v>679</v>
      </c>
      <c r="C58" s="11" t="s">
        <v>680</v>
      </c>
      <c r="D58" s="11" t="s">
        <v>681</v>
      </c>
      <c r="E58" s="11" t="s">
        <v>682</v>
      </c>
      <c r="F58" s="11" t="s">
        <v>683</v>
      </c>
      <c r="G58" s="11" t="s">
        <v>183</v>
      </c>
      <c r="H58" s="11" t="s">
        <v>607</v>
      </c>
      <c r="I58" s="11" t="s">
        <v>59</v>
      </c>
      <c r="J58" s="11" t="s">
        <v>60</v>
      </c>
      <c r="K58" s="11"/>
      <c r="L58" s="11"/>
      <c r="M58" s="11"/>
      <c r="N58" s="11" t="str">
        <f aca="false">IF(A58="","",IF(SUBSTITUTE(SUBSTITUTE(B58," ",""),"|","")=A58,"OK","Split letters don't match"))</f>
        <v>OK</v>
      </c>
      <c r="O58" s="12" t="str">
        <f aca="false">IF(A58="","",IF(AND(J58="Approved",K58&lt;&gt;"",L58&lt;&gt;"",N58="OK"),"Ready","Not yet"))</f>
        <v>Not yet</v>
      </c>
    </row>
    <row r="59" customFormat="false" ht="15" hidden="false" customHeight="false" outlineLevel="0" collapsed="false">
      <c r="A59" s="11" t="s">
        <v>684</v>
      </c>
      <c r="B59" s="11" t="s">
        <v>685</v>
      </c>
      <c r="C59" s="11" t="s">
        <v>686</v>
      </c>
      <c r="D59" s="11" t="s">
        <v>687</v>
      </c>
      <c r="E59" s="11" t="s">
        <v>688</v>
      </c>
      <c r="F59" s="11" t="s">
        <v>377</v>
      </c>
      <c r="G59" s="11" t="s">
        <v>114</v>
      </c>
      <c r="H59" s="11" t="s">
        <v>689</v>
      </c>
      <c r="I59" s="11" t="s">
        <v>59</v>
      </c>
      <c r="J59" s="11" t="s">
        <v>60</v>
      </c>
      <c r="K59" s="11"/>
      <c r="L59" s="11"/>
      <c r="M59" s="11"/>
      <c r="N59" s="11" t="str">
        <f aca="false">IF(A59="","",IF(SUBSTITUTE(SUBSTITUTE(B59," ",""),"|","")=A59,"OK","Split letters don't match"))</f>
        <v>OK</v>
      </c>
      <c r="O59" s="12" t="str">
        <f aca="false">IF(A59="","",IF(AND(J59="Approved",K59&lt;&gt;"",L59&lt;&gt;"",N59="OK"),"Ready","Not yet"))</f>
        <v>Not yet</v>
      </c>
    </row>
    <row r="60" customFormat="false" ht="23.85" hidden="false" customHeight="false" outlineLevel="0" collapsed="false">
      <c r="A60" s="11" t="s">
        <v>690</v>
      </c>
      <c r="B60" s="11" t="s">
        <v>691</v>
      </c>
      <c r="C60" s="11" t="s">
        <v>692</v>
      </c>
      <c r="D60" s="11" t="s">
        <v>693</v>
      </c>
      <c r="E60" s="11" t="s">
        <v>694</v>
      </c>
      <c r="F60" s="11" t="s">
        <v>377</v>
      </c>
      <c r="G60" s="11" t="s">
        <v>124</v>
      </c>
      <c r="H60" s="11" t="s">
        <v>689</v>
      </c>
      <c r="I60" s="11" t="s">
        <v>59</v>
      </c>
      <c r="J60" s="11" t="s">
        <v>60</v>
      </c>
      <c r="K60" s="11"/>
      <c r="L60" s="11"/>
      <c r="M60" s="11"/>
      <c r="N60" s="11" t="str">
        <f aca="false">IF(A60="","",IF(SUBSTITUTE(SUBSTITUTE(B60," ",""),"|","")=A60,"OK","Split letters don't match"))</f>
        <v>OK</v>
      </c>
      <c r="O60" s="12" t="str">
        <f aca="false">IF(A60="","",IF(AND(J60="Approved",K60&lt;&gt;"",L60&lt;&gt;"",N60="OK"),"Ready","Not yet"))</f>
        <v>Not yet</v>
      </c>
    </row>
    <row r="61" customFormat="false" ht="15" hidden="false" customHeight="false" outlineLevel="0" collapsed="false">
      <c r="A61" s="11" t="s">
        <v>695</v>
      </c>
      <c r="B61" s="11" t="s">
        <v>696</v>
      </c>
      <c r="C61" s="11" t="s">
        <v>697</v>
      </c>
      <c r="D61" s="11" t="s">
        <v>698</v>
      </c>
      <c r="E61" s="11" t="s">
        <v>699</v>
      </c>
      <c r="F61" s="11" t="s">
        <v>377</v>
      </c>
      <c r="G61" s="11" t="s">
        <v>124</v>
      </c>
      <c r="H61" s="11" t="s">
        <v>689</v>
      </c>
      <c r="I61" s="11" t="s">
        <v>59</v>
      </c>
      <c r="J61" s="11" t="s">
        <v>60</v>
      </c>
      <c r="K61" s="11"/>
      <c r="L61" s="11"/>
      <c r="M61" s="11"/>
      <c r="N61" s="11" t="str">
        <f aca="false">IF(A61="","",IF(SUBSTITUTE(SUBSTITUTE(B61," ",""),"|","")=A61,"OK","Split letters don't match"))</f>
        <v>OK</v>
      </c>
      <c r="O61" s="12" t="str">
        <f aca="false">IF(A61="","",IF(AND(J61="Approved",K61&lt;&gt;"",L61&lt;&gt;"",N61="OK"),"Ready","Not yet"))</f>
        <v>Not yet</v>
      </c>
    </row>
    <row r="62" customFormat="false" ht="23.85" hidden="false" customHeight="false" outlineLevel="0" collapsed="false">
      <c r="A62" s="11" t="s">
        <v>700</v>
      </c>
      <c r="B62" s="11" t="s">
        <v>701</v>
      </c>
      <c r="C62" s="11" t="s">
        <v>702</v>
      </c>
      <c r="D62" s="11" t="s">
        <v>703</v>
      </c>
      <c r="E62" s="11" t="s">
        <v>704</v>
      </c>
      <c r="F62" s="11" t="s">
        <v>550</v>
      </c>
      <c r="G62" s="11" t="s">
        <v>109</v>
      </c>
      <c r="H62" s="11" t="s">
        <v>689</v>
      </c>
      <c r="I62" s="11" t="s">
        <v>59</v>
      </c>
      <c r="J62" s="11" t="s">
        <v>60</v>
      </c>
      <c r="K62" s="11"/>
      <c r="L62" s="11"/>
      <c r="M62" s="11"/>
      <c r="N62" s="11" t="str">
        <f aca="false">IF(A62="","",IF(SUBSTITUTE(SUBSTITUTE(B62," ",""),"|","")=A62,"OK","Split letters don't match"))</f>
        <v>OK</v>
      </c>
      <c r="O62" s="12" t="str">
        <f aca="false">IF(A62="","",IF(AND(J62="Approved",K62&lt;&gt;"",L62&lt;&gt;"",N62="OK"),"Ready","Not yet"))</f>
        <v>Not yet</v>
      </c>
    </row>
    <row r="63" customFormat="false" ht="15" hidden="false" customHeight="false" outlineLevel="0" collapsed="false">
      <c r="A63" s="11"/>
      <c r="B63" s="11"/>
      <c r="C63" s="11"/>
      <c r="D63" s="11"/>
      <c r="E63" s="11"/>
      <c r="F63" s="11"/>
      <c r="G63" s="11"/>
      <c r="H63" s="11"/>
      <c r="I63" s="11"/>
      <c r="J63" s="11"/>
      <c r="K63" s="11"/>
      <c r="L63" s="11"/>
      <c r="M63" s="11"/>
      <c r="N63" s="11" t="str">
        <f aca="false">IF(A63="","",IF(SUBSTITUTE(SUBSTITUTE(B63," ",""),"|","")=A63,"OK","Split letters don't match"))</f>
        <v/>
      </c>
      <c r="O63" s="12" t="str">
        <f aca="false">IF(A63="","",IF(AND(J63="Approved",K63&lt;&gt;"",L63&lt;&gt;"",N63="OK"),"Ready","Not yet"))</f>
        <v/>
      </c>
    </row>
    <row r="64" customFormat="false" ht="15" hidden="false" customHeight="false" outlineLevel="0" collapsed="false">
      <c r="A64" s="11"/>
      <c r="B64" s="11"/>
      <c r="C64" s="11"/>
      <c r="D64" s="11"/>
      <c r="E64" s="11"/>
      <c r="F64" s="11"/>
      <c r="G64" s="11"/>
      <c r="H64" s="11"/>
      <c r="I64" s="11"/>
      <c r="J64" s="11"/>
      <c r="K64" s="11"/>
      <c r="L64" s="11"/>
      <c r="M64" s="11"/>
      <c r="N64" s="11" t="str">
        <f aca="false">IF(A64="","",IF(SUBSTITUTE(SUBSTITUTE(B64," ",""),"|","")=A64,"OK","Split letters don't match"))</f>
        <v/>
      </c>
      <c r="O64" s="12" t="str">
        <f aca="false">IF(A64="","",IF(AND(J64="Approved",K64&lt;&gt;"",L64&lt;&gt;"",N64="OK"),"Ready","Not yet"))</f>
        <v/>
      </c>
    </row>
    <row r="65" customFormat="false" ht="15" hidden="false" customHeight="false" outlineLevel="0" collapsed="false">
      <c r="A65" s="11"/>
      <c r="B65" s="11"/>
      <c r="C65" s="11"/>
      <c r="D65" s="11"/>
      <c r="E65" s="11"/>
      <c r="F65" s="11"/>
      <c r="G65" s="11"/>
      <c r="H65" s="11"/>
      <c r="I65" s="11"/>
      <c r="J65" s="11"/>
      <c r="K65" s="11"/>
      <c r="L65" s="11"/>
      <c r="M65" s="11"/>
      <c r="N65" s="11" t="str">
        <f aca="false">IF(A65="","",IF(SUBSTITUTE(SUBSTITUTE(B65," ",""),"|","")=A65,"OK","Split letters don't match"))</f>
        <v/>
      </c>
      <c r="O65" s="12" t="str">
        <f aca="false">IF(A65="","",IF(AND(J65="Approved",K65&lt;&gt;"",L65&lt;&gt;"",N65="OK"),"Ready","Not yet"))</f>
        <v/>
      </c>
    </row>
    <row r="66" customFormat="false" ht="15" hidden="false" customHeight="false" outlineLevel="0" collapsed="false">
      <c r="A66" s="11"/>
      <c r="B66" s="11"/>
      <c r="C66" s="11"/>
      <c r="D66" s="11"/>
      <c r="E66" s="11"/>
      <c r="F66" s="11"/>
      <c r="G66" s="11"/>
      <c r="H66" s="11"/>
      <c r="I66" s="11"/>
      <c r="J66" s="11"/>
      <c r="K66" s="11"/>
      <c r="L66" s="11"/>
      <c r="M66" s="11"/>
      <c r="N66" s="11" t="str">
        <f aca="false">IF(A66="","",IF(SUBSTITUTE(SUBSTITUTE(B66," ",""),"|","")=A66,"OK","Split letters don't match"))</f>
        <v/>
      </c>
      <c r="O66" s="12" t="str">
        <f aca="false">IF(A66="","",IF(AND(J66="Approved",K66&lt;&gt;"",L66&lt;&gt;"",N66="OK"),"Ready","Not yet"))</f>
        <v/>
      </c>
    </row>
    <row r="67" customFormat="false" ht="15" hidden="false" customHeight="false" outlineLevel="0" collapsed="false">
      <c r="A67" s="11"/>
      <c r="B67" s="11"/>
      <c r="C67" s="11"/>
      <c r="D67" s="11"/>
      <c r="E67" s="11"/>
      <c r="F67" s="11"/>
      <c r="G67" s="11"/>
      <c r="H67" s="11"/>
      <c r="I67" s="11"/>
      <c r="J67" s="11"/>
      <c r="K67" s="11"/>
      <c r="L67" s="11"/>
      <c r="M67" s="11"/>
      <c r="N67" s="11" t="str">
        <f aca="false">IF(A67="","",IF(SUBSTITUTE(SUBSTITUTE(B67," ",""),"|","")=A67,"OK","Split letters don't match"))</f>
        <v/>
      </c>
      <c r="O67" s="12" t="str">
        <f aca="false">IF(A67="","",IF(AND(J67="Approved",K67&lt;&gt;"",L67&lt;&gt;"",N67="OK"),"Ready","Not yet"))</f>
        <v/>
      </c>
    </row>
    <row r="68" customFormat="false" ht="15" hidden="false" customHeight="false" outlineLevel="0" collapsed="false">
      <c r="A68" s="11"/>
      <c r="B68" s="11"/>
      <c r="C68" s="11"/>
      <c r="D68" s="11"/>
      <c r="E68" s="11"/>
      <c r="F68" s="11"/>
      <c r="G68" s="11"/>
      <c r="H68" s="11"/>
      <c r="I68" s="11"/>
      <c r="J68" s="11"/>
      <c r="K68" s="11"/>
      <c r="L68" s="11"/>
      <c r="M68" s="11"/>
      <c r="N68" s="11" t="str">
        <f aca="false">IF(A68="","",IF(SUBSTITUTE(SUBSTITUTE(B68," ",""),"|","")=A68,"OK","Split letters don't match"))</f>
        <v/>
      </c>
      <c r="O68" s="12" t="str">
        <f aca="false">IF(A68="","",IF(AND(J68="Approved",K68&lt;&gt;"",L68&lt;&gt;"",N68="OK"),"Ready","Not yet"))</f>
        <v/>
      </c>
    </row>
    <row r="69" customFormat="false" ht="15" hidden="false" customHeight="false" outlineLevel="0" collapsed="false">
      <c r="A69" s="11"/>
      <c r="B69" s="11"/>
      <c r="C69" s="11"/>
      <c r="D69" s="11"/>
      <c r="E69" s="11"/>
      <c r="F69" s="11"/>
      <c r="G69" s="11"/>
      <c r="H69" s="11"/>
      <c r="I69" s="11"/>
      <c r="J69" s="11"/>
      <c r="K69" s="11"/>
      <c r="L69" s="11"/>
      <c r="M69" s="11"/>
      <c r="N69" s="11" t="str">
        <f aca="false">IF(A69="","",IF(SUBSTITUTE(SUBSTITUTE(B69," ",""),"|","")=A69,"OK","Split letters don't match"))</f>
        <v/>
      </c>
      <c r="O69" s="12" t="str">
        <f aca="false">IF(A69="","",IF(AND(J69="Approved",K69&lt;&gt;"",L69&lt;&gt;"",N69="OK"),"Ready","Not yet"))</f>
        <v/>
      </c>
    </row>
    <row r="70" customFormat="false" ht="15" hidden="false" customHeight="false" outlineLevel="0" collapsed="false">
      <c r="A70" s="11"/>
      <c r="B70" s="11"/>
      <c r="C70" s="11"/>
      <c r="D70" s="11"/>
      <c r="E70" s="11"/>
      <c r="F70" s="11"/>
      <c r="G70" s="11"/>
      <c r="H70" s="11"/>
      <c r="I70" s="11"/>
      <c r="J70" s="11"/>
      <c r="K70" s="11"/>
      <c r="L70" s="11"/>
      <c r="M70" s="11"/>
      <c r="N70" s="11" t="str">
        <f aca="false">IF(A70="","",IF(SUBSTITUTE(SUBSTITUTE(B70," ",""),"|","")=A70,"OK","Split letters don't match"))</f>
        <v/>
      </c>
      <c r="O70" s="12" t="str">
        <f aca="false">IF(A70="","",IF(AND(J70="Approved",K70&lt;&gt;"",L70&lt;&gt;"",N70="OK"),"Ready","Not yet"))</f>
        <v/>
      </c>
    </row>
    <row r="71" customFormat="false" ht="15" hidden="false" customHeight="false" outlineLevel="0" collapsed="false">
      <c r="A71" s="11"/>
      <c r="B71" s="11"/>
      <c r="C71" s="11"/>
      <c r="D71" s="11"/>
      <c r="E71" s="11"/>
      <c r="F71" s="11"/>
      <c r="G71" s="11"/>
      <c r="H71" s="11"/>
      <c r="I71" s="11"/>
      <c r="J71" s="11"/>
      <c r="K71" s="11"/>
      <c r="L71" s="11"/>
      <c r="M71" s="11"/>
      <c r="N71" s="11" t="str">
        <f aca="false">IF(A71="","",IF(SUBSTITUTE(SUBSTITUTE(B71," ",""),"|","")=A71,"OK","Split letters don't match"))</f>
        <v/>
      </c>
      <c r="O71" s="12" t="str">
        <f aca="false">IF(A71="","",IF(AND(J71="Approved",K71&lt;&gt;"",L71&lt;&gt;"",N71="OK"),"Ready","Not yet"))</f>
        <v/>
      </c>
    </row>
    <row r="72" customFormat="false" ht="15" hidden="false" customHeight="false" outlineLevel="0" collapsed="false">
      <c r="A72" s="11"/>
      <c r="B72" s="11"/>
      <c r="C72" s="11"/>
      <c r="D72" s="11"/>
      <c r="E72" s="11"/>
      <c r="F72" s="11"/>
      <c r="G72" s="11"/>
      <c r="H72" s="11"/>
      <c r="I72" s="11"/>
      <c r="J72" s="11"/>
      <c r="K72" s="11"/>
      <c r="L72" s="11"/>
      <c r="M72" s="11"/>
      <c r="N72" s="11" t="str">
        <f aca="false">IF(A72="","",IF(SUBSTITUTE(SUBSTITUTE(B72," ",""),"|","")=A72,"OK","Split letters don't match"))</f>
        <v/>
      </c>
      <c r="O72" s="12" t="str">
        <f aca="false">IF(A72="","",IF(AND(J72="Approved",K72&lt;&gt;"",L72&lt;&gt;"",N72="OK"),"Ready","Not yet"))</f>
        <v/>
      </c>
    </row>
    <row r="73" customFormat="false" ht="15" hidden="false" customHeight="false" outlineLevel="0" collapsed="false">
      <c r="A73" s="11"/>
      <c r="B73" s="11"/>
      <c r="C73" s="11"/>
      <c r="D73" s="11"/>
      <c r="E73" s="11"/>
      <c r="F73" s="11"/>
      <c r="G73" s="11"/>
      <c r="H73" s="11"/>
      <c r="I73" s="11"/>
      <c r="J73" s="11"/>
      <c r="K73" s="11"/>
      <c r="L73" s="11"/>
      <c r="M73" s="11"/>
      <c r="N73" s="11" t="str">
        <f aca="false">IF(A73="","",IF(SUBSTITUTE(SUBSTITUTE(B73," ",""),"|","")=A73,"OK","Split letters don't match"))</f>
        <v/>
      </c>
      <c r="O73" s="12" t="str">
        <f aca="false">IF(A73="","",IF(AND(J73="Approved",K73&lt;&gt;"",L73&lt;&gt;"",N73="OK"),"Ready","Not yet"))</f>
        <v/>
      </c>
    </row>
    <row r="74" customFormat="false" ht="15" hidden="false" customHeight="false" outlineLevel="0" collapsed="false">
      <c r="A74" s="11"/>
      <c r="B74" s="11"/>
      <c r="C74" s="11"/>
      <c r="D74" s="11"/>
      <c r="E74" s="11"/>
      <c r="F74" s="11"/>
      <c r="G74" s="11"/>
      <c r="H74" s="11"/>
      <c r="I74" s="11"/>
      <c r="J74" s="11"/>
      <c r="K74" s="11"/>
      <c r="L74" s="11"/>
      <c r="M74" s="11"/>
      <c r="N74" s="11" t="str">
        <f aca="false">IF(A74="","",IF(SUBSTITUTE(SUBSTITUTE(B74," ",""),"|","")=A74,"OK","Split letters don't match"))</f>
        <v/>
      </c>
      <c r="O74" s="12" t="str">
        <f aca="false">IF(A74="","",IF(AND(J74="Approved",K74&lt;&gt;"",L74&lt;&gt;"",N74="OK"),"Ready","Not yet"))</f>
        <v/>
      </c>
    </row>
    <row r="75" customFormat="false" ht="15" hidden="false" customHeight="false" outlineLevel="0" collapsed="false">
      <c r="A75" s="11"/>
      <c r="B75" s="11"/>
      <c r="C75" s="11"/>
      <c r="D75" s="11"/>
      <c r="E75" s="11"/>
      <c r="F75" s="11"/>
      <c r="G75" s="11"/>
      <c r="H75" s="11"/>
      <c r="I75" s="11"/>
      <c r="J75" s="11"/>
      <c r="K75" s="11"/>
      <c r="L75" s="11"/>
      <c r="M75" s="11"/>
      <c r="N75" s="11" t="str">
        <f aca="false">IF(A75="","",IF(SUBSTITUTE(SUBSTITUTE(B75," ",""),"|","")=A75,"OK","Split letters don't match"))</f>
        <v/>
      </c>
      <c r="O75" s="12" t="str">
        <f aca="false">IF(A75="","",IF(AND(J75="Approved",K75&lt;&gt;"",L75&lt;&gt;"",N75="OK"),"Ready","Not yet"))</f>
        <v/>
      </c>
    </row>
    <row r="76" customFormat="false" ht="15" hidden="false" customHeight="false" outlineLevel="0" collapsed="false">
      <c r="A76" s="11"/>
      <c r="B76" s="11"/>
      <c r="C76" s="11"/>
      <c r="D76" s="11"/>
      <c r="E76" s="11"/>
      <c r="F76" s="11"/>
      <c r="G76" s="11"/>
      <c r="H76" s="11"/>
      <c r="I76" s="11"/>
      <c r="J76" s="11"/>
      <c r="K76" s="11"/>
      <c r="L76" s="11"/>
      <c r="M76" s="11"/>
      <c r="N76" s="11" t="str">
        <f aca="false">IF(A76="","",IF(SUBSTITUTE(SUBSTITUTE(B76," ",""),"|","")=A76,"OK","Split letters don't match"))</f>
        <v/>
      </c>
      <c r="O76" s="12" t="str">
        <f aca="false">IF(A76="","",IF(AND(J76="Approved",K76&lt;&gt;"",L76&lt;&gt;"",N76="OK"),"Ready","Not yet"))</f>
        <v/>
      </c>
    </row>
    <row r="77" customFormat="false" ht="15" hidden="false" customHeight="false" outlineLevel="0" collapsed="false">
      <c r="A77" s="11"/>
      <c r="B77" s="11"/>
      <c r="C77" s="11"/>
      <c r="D77" s="11"/>
      <c r="E77" s="11"/>
      <c r="F77" s="11"/>
      <c r="G77" s="11"/>
      <c r="H77" s="11"/>
      <c r="I77" s="11"/>
      <c r="J77" s="11"/>
      <c r="K77" s="11"/>
      <c r="L77" s="11"/>
      <c r="M77" s="11"/>
      <c r="N77" s="11" t="str">
        <f aca="false">IF(A77="","",IF(SUBSTITUTE(SUBSTITUTE(B77," ",""),"|","")=A77,"OK","Split letters don't match"))</f>
        <v/>
      </c>
      <c r="O77" s="12" t="str">
        <f aca="false">IF(A77="","",IF(AND(J77="Approved",K77&lt;&gt;"",L77&lt;&gt;"",N77="OK"),"Ready","Not yet"))</f>
        <v/>
      </c>
    </row>
    <row r="78" customFormat="false" ht="15" hidden="false" customHeight="false" outlineLevel="0" collapsed="false">
      <c r="A78" s="11"/>
      <c r="B78" s="11"/>
      <c r="C78" s="11"/>
      <c r="D78" s="11"/>
      <c r="E78" s="11"/>
      <c r="F78" s="11"/>
      <c r="G78" s="11"/>
      <c r="H78" s="11"/>
      <c r="I78" s="11"/>
      <c r="J78" s="11"/>
      <c r="K78" s="11"/>
      <c r="L78" s="11"/>
      <c r="M78" s="11"/>
      <c r="N78" s="11" t="str">
        <f aca="false">IF(A78="","",IF(SUBSTITUTE(SUBSTITUTE(B78," ",""),"|","")=A78,"OK","Split letters don't match"))</f>
        <v/>
      </c>
      <c r="O78" s="12" t="str">
        <f aca="false">IF(A78="","",IF(AND(J78="Approved",K78&lt;&gt;"",L78&lt;&gt;"",N78="OK"),"Ready","Not yet"))</f>
        <v/>
      </c>
    </row>
    <row r="79" customFormat="false" ht="15" hidden="false" customHeight="false" outlineLevel="0" collapsed="false">
      <c r="A79" s="11"/>
      <c r="B79" s="11"/>
      <c r="C79" s="11"/>
      <c r="D79" s="11"/>
      <c r="E79" s="11"/>
      <c r="F79" s="11"/>
      <c r="G79" s="11"/>
      <c r="H79" s="11"/>
      <c r="I79" s="11"/>
      <c r="J79" s="11"/>
      <c r="K79" s="11"/>
      <c r="L79" s="11"/>
      <c r="M79" s="11"/>
      <c r="N79" s="11" t="str">
        <f aca="false">IF(A79="","",IF(SUBSTITUTE(SUBSTITUTE(B79," ",""),"|","")=A79,"OK","Split letters don't match"))</f>
        <v/>
      </c>
      <c r="O79" s="12" t="str">
        <f aca="false">IF(A79="","",IF(AND(J79="Approved",K79&lt;&gt;"",L79&lt;&gt;"",N79="OK"),"Ready","Not yet"))</f>
        <v/>
      </c>
    </row>
    <row r="80" customFormat="false" ht="15" hidden="false" customHeight="false" outlineLevel="0" collapsed="false">
      <c r="A80" s="11"/>
      <c r="B80" s="11"/>
      <c r="C80" s="11"/>
      <c r="D80" s="11"/>
      <c r="E80" s="11"/>
      <c r="F80" s="11"/>
      <c r="G80" s="11"/>
      <c r="H80" s="11"/>
      <c r="I80" s="11"/>
      <c r="J80" s="11"/>
      <c r="K80" s="11"/>
      <c r="L80" s="11"/>
      <c r="M80" s="11"/>
      <c r="N80" s="11" t="str">
        <f aca="false">IF(A80="","",IF(SUBSTITUTE(SUBSTITUTE(B80," ",""),"|","")=A80,"OK","Split letters don't match"))</f>
        <v/>
      </c>
      <c r="O80" s="12" t="str">
        <f aca="false">IF(A80="","",IF(AND(J80="Approved",K80&lt;&gt;"",L80&lt;&gt;"",N80="OK"),"Ready","Not yet"))</f>
        <v/>
      </c>
    </row>
    <row r="81" customFormat="false" ht="15" hidden="false" customHeight="false" outlineLevel="0" collapsed="false">
      <c r="A81" s="11"/>
      <c r="B81" s="11"/>
      <c r="C81" s="11"/>
      <c r="D81" s="11"/>
      <c r="E81" s="11"/>
      <c r="F81" s="11"/>
      <c r="G81" s="11"/>
      <c r="H81" s="11"/>
      <c r="I81" s="11"/>
      <c r="J81" s="11"/>
      <c r="K81" s="11"/>
      <c r="L81" s="11"/>
      <c r="M81" s="11"/>
      <c r="N81" s="11" t="str">
        <f aca="false">IF(A81="","",IF(SUBSTITUTE(SUBSTITUTE(B81," ",""),"|","")=A81,"OK","Split letters don't match"))</f>
        <v/>
      </c>
      <c r="O81" s="12" t="str">
        <f aca="false">IF(A81="","",IF(AND(J81="Approved",K81&lt;&gt;"",L81&lt;&gt;"",N81="OK"),"Ready","Not yet"))</f>
        <v/>
      </c>
    </row>
    <row r="82" customFormat="false" ht="15" hidden="false" customHeight="false" outlineLevel="0" collapsed="false">
      <c r="A82" s="11"/>
      <c r="B82" s="11"/>
      <c r="C82" s="11"/>
      <c r="D82" s="11"/>
      <c r="E82" s="11"/>
      <c r="F82" s="11"/>
      <c r="G82" s="11"/>
      <c r="H82" s="11"/>
      <c r="I82" s="11"/>
      <c r="J82" s="11"/>
      <c r="K82" s="11"/>
      <c r="L82" s="11"/>
      <c r="M82" s="11"/>
      <c r="N82" s="11" t="str">
        <f aca="false">IF(A82="","",IF(SUBSTITUTE(SUBSTITUTE(B82," ",""),"|","")=A82,"OK","Split letters don't match"))</f>
        <v/>
      </c>
      <c r="O82" s="12" t="str">
        <f aca="false">IF(A82="","",IF(AND(J82="Approved",K82&lt;&gt;"",L82&lt;&gt;"",N82="OK"),"Ready","Not yet"))</f>
        <v/>
      </c>
    </row>
    <row r="83" customFormat="false" ht="15" hidden="false" customHeight="false" outlineLevel="0" collapsed="false">
      <c r="A83" s="11"/>
      <c r="B83" s="11"/>
      <c r="C83" s="11"/>
      <c r="D83" s="11"/>
      <c r="E83" s="11"/>
      <c r="F83" s="11"/>
      <c r="G83" s="11"/>
      <c r="H83" s="11"/>
      <c r="I83" s="11"/>
      <c r="J83" s="11"/>
      <c r="K83" s="11"/>
      <c r="L83" s="11"/>
      <c r="M83" s="11"/>
      <c r="N83" s="11" t="str">
        <f aca="false">IF(A83="","",IF(SUBSTITUTE(SUBSTITUTE(B83," ",""),"|","")=A83,"OK","Split letters don't match"))</f>
        <v/>
      </c>
      <c r="O83" s="12" t="str">
        <f aca="false">IF(A83="","",IF(AND(J83="Approved",K83&lt;&gt;"",L83&lt;&gt;"",N83="OK"),"Ready","Not yet"))</f>
        <v/>
      </c>
    </row>
    <row r="84" customFormat="false" ht="15" hidden="false" customHeight="false" outlineLevel="0" collapsed="false">
      <c r="A84" s="11"/>
      <c r="B84" s="11"/>
      <c r="C84" s="11"/>
      <c r="D84" s="11"/>
      <c r="E84" s="11"/>
      <c r="F84" s="11"/>
      <c r="G84" s="11"/>
      <c r="H84" s="11"/>
      <c r="I84" s="11"/>
      <c r="J84" s="11"/>
      <c r="K84" s="11"/>
      <c r="L84" s="11"/>
      <c r="M84" s="11"/>
      <c r="N84" s="11" t="str">
        <f aca="false">IF(A84="","",IF(SUBSTITUTE(SUBSTITUTE(B84," ",""),"|","")=A84,"OK","Split letters don't match"))</f>
        <v/>
      </c>
      <c r="O84" s="12" t="str">
        <f aca="false">IF(A84="","",IF(AND(J84="Approved",K84&lt;&gt;"",L84&lt;&gt;"",N84="OK"),"Ready","Not yet"))</f>
        <v/>
      </c>
    </row>
    <row r="85" customFormat="false" ht="15" hidden="false" customHeight="false" outlineLevel="0" collapsed="false">
      <c r="A85" s="11"/>
      <c r="B85" s="11"/>
      <c r="C85" s="11"/>
      <c r="D85" s="11"/>
      <c r="E85" s="11"/>
      <c r="F85" s="11"/>
      <c r="G85" s="11"/>
      <c r="H85" s="11"/>
      <c r="I85" s="11"/>
      <c r="J85" s="11"/>
      <c r="K85" s="11"/>
      <c r="L85" s="11"/>
      <c r="M85" s="11"/>
      <c r="N85" s="11" t="str">
        <f aca="false">IF(A85="","",IF(SUBSTITUTE(SUBSTITUTE(B85," ",""),"|","")=A85,"OK","Split letters don't match"))</f>
        <v/>
      </c>
      <c r="O85" s="12" t="str">
        <f aca="false">IF(A85="","",IF(AND(J85="Approved",K85&lt;&gt;"",L85&lt;&gt;"",N85="OK"),"Ready","Not yet"))</f>
        <v/>
      </c>
    </row>
    <row r="86" customFormat="false" ht="15" hidden="false" customHeight="false" outlineLevel="0" collapsed="false">
      <c r="A86" s="11"/>
      <c r="B86" s="11"/>
      <c r="C86" s="11"/>
      <c r="D86" s="11"/>
      <c r="E86" s="11"/>
      <c r="F86" s="11"/>
      <c r="G86" s="11"/>
      <c r="H86" s="11"/>
      <c r="I86" s="11"/>
      <c r="J86" s="11"/>
      <c r="K86" s="11"/>
      <c r="L86" s="11"/>
      <c r="M86" s="11"/>
      <c r="N86" s="11" t="str">
        <f aca="false">IF(A86="","",IF(SUBSTITUTE(SUBSTITUTE(B86," ",""),"|","")=A86,"OK","Split letters don't match"))</f>
        <v/>
      </c>
      <c r="O86" s="12" t="str">
        <f aca="false">IF(A86="","",IF(AND(J86="Approved",K86&lt;&gt;"",L86&lt;&gt;"",N86="OK"),"Ready","Not yet"))</f>
        <v/>
      </c>
    </row>
    <row r="87" customFormat="false" ht="15" hidden="false" customHeight="false" outlineLevel="0" collapsed="false">
      <c r="A87" s="11"/>
      <c r="B87" s="11"/>
      <c r="C87" s="11"/>
      <c r="D87" s="11"/>
      <c r="E87" s="11"/>
      <c r="F87" s="11"/>
      <c r="G87" s="11"/>
      <c r="H87" s="11"/>
      <c r="I87" s="11"/>
      <c r="J87" s="11"/>
      <c r="K87" s="11"/>
      <c r="L87" s="11"/>
      <c r="M87" s="11"/>
      <c r="N87" s="11" t="str">
        <f aca="false">IF(A87="","",IF(SUBSTITUTE(SUBSTITUTE(B87," ",""),"|","")=A87,"OK","Split letters don't match"))</f>
        <v/>
      </c>
      <c r="O87" s="12" t="str">
        <f aca="false">IF(A87="","",IF(AND(J87="Approved",K87&lt;&gt;"",L87&lt;&gt;"",N87="OK"),"Ready","Not yet"))</f>
        <v/>
      </c>
    </row>
    <row r="88" customFormat="false" ht="15" hidden="false" customHeight="false" outlineLevel="0" collapsed="false">
      <c r="A88" s="11"/>
      <c r="B88" s="11"/>
      <c r="C88" s="11"/>
      <c r="D88" s="11"/>
      <c r="E88" s="11"/>
      <c r="F88" s="11"/>
      <c r="G88" s="11"/>
      <c r="H88" s="11"/>
      <c r="I88" s="11"/>
      <c r="J88" s="11"/>
      <c r="K88" s="11"/>
      <c r="L88" s="11"/>
      <c r="M88" s="11"/>
      <c r="N88" s="11" t="str">
        <f aca="false">IF(A88="","",IF(SUBSTITUTE(SUBSTITUTE(B88," ",""),"|","")=A88,"OK","Split letters don't match"))</f>
        <v/>
      </c>
      <c r="O88" s="12" t="str">
        <f aca="false">IF(A88="","",IF(AND(J88="Approved",K88&lt;&gt;"",L88&lt;&gt;"",N88="OK"),"Ready","Not yet"))</f>
        <v/>
      </c>
    </row>
    <row r="89" customFormat="false" ht="15" hidden="false" customHeight="false" outlineLevel="0" collapsed="false">
      <c r="A89" s="11"/>
      <c r="B89" s="11"/>
      <c r="C89" s="11"/>
      <c r="D89" s="11"/>
      <c r="E89" s="11"/>
      <c r="F89" s="11"/>
      <c r="G89" s="11"/>
      <c r="H89" s="11"/>
      <c r="I89" s="11"/>
      <c r="J89" s="11"/>
      <c r="K89" s="11"/>
      <c r="L89" s="11"/>
      <c r="M89" s="11"/>
      <c r="N89" s="11" t="str">
        <f aca="false">IF(A89="","",IF(SUBSTITUTE(SUBSTITUTE(B89," ",""),"|","")=A89,"OK","Split letters don't match"))</f>
        <v/>
      </c>
      <c r="O89" s="12" t="str">
        <f aca="false">IF(A89="","",IF(AND(J89="Approved",K89&lt;&gt;"",L89&lt;&gt;"",N89="OK"),"Ready","Not yet"))</f>
        <v/>
      </c>
    </row>
    <row r="90" customFormat="false" ht="15" hidden="false" customHeight="false" outlineLevel="0" collapsed="false">
      <c r="A90" s="11"/>
      <c r="B90" s="11"/>
      <c r="C90" s="11"/>
      <c r="D90" s="11"/>
      <c r="E90" s="11"/>
      <c r="F90" s="11"/>
      <c r="G90" s="11"/>
      <c r="H90" s="11"/>
      <c r="I90" s="11"/>
      <c r="J90" s="11"/>
      <c r="K90" s="11"/>
      <c r="L90" s="11"/>
      <c r="M90" s="11"/>
      <c r="N90" s="11" t="str">
        <f aca="false">IF(A90="","",IF(SUBSTITUTE(SUBSTITUTE(B90," ",""),"|","")=A90,"OK","Split letters don't match"))</f>
        <v/>
      </c>
      <c r="O90" s="12" t="str">
        <f aca="false">IF(A90="","",IF(AND(J90="Approved",K90&lt;&gt;"",L90&lt;&gt;"",N90="OK"),"Ready","Not yet"))</f>
        <v/>
      </c>
    </row>
    <row r="91" customFormat="false" ht="15" hidden="false" customHeight="false" outlineLevel="0" collapsed="false">
      <c r="A91" s="11"/>
      <c r="B91" s="11"/>
      <c r="C91" s="11"/>
      <c r="D91" s="11"/>
      <c r="E91" s="11"/>
      <c r="F91" s="11"/>
      <c r="G91" s="11"/>
      <c r="H91" s="11"/>
      <c r="I91" s="11"/>
      <c r="J91" s="11"/>
      <c r="K91" s="11"/>
      <c r="L91" s="11"/>
      <c r="M91" s="11"/>
      <c r="N91" s="11" t="str">
        <f aca="false">IF(A91="","",IF(SUBSTITUTE(SUBSTITUTE(B91," ",""),"|","")=A91,"OK","Split letters don't match"))</f>
        <v/>
      </c>
      <c r="O91" s="12" t="str">
        <f aca="false">IF(A91="","",IF(AND(J91="Approved",K91&lt;&gt;"",L91&lt;&gt;"",N91="OK"),"Ready","Not yet"))</f>
        <v/>
      </c>
    </row>
    <row r="92" customFormat="false" ht="15" hidden="false" customHeight="false" outlineLevel="0" collapsed="false">
      <c r="A92" s="11"/>
      <c r="B92" s="11"/>
      <c r="C92" s="11"/>
      <c r="D92" s="11"/>
      <c r="E92" s="11"/>
      <c r="F92" s="11"/>
      <c r="G92" s="11"/>
      <c r="H92" s="11"/>
      <c r="I92" s="11"/>
      <c r="J92" s="11"/>
      <c r="K92" s="11"/>
      <c r="L92" s="11"/>
      <c r="M92" s="11"/>
      <c r="N92" s="11" t="str">
        <f aca="false">IF(A92="","",IF(SUBSTITUTE(SUBSTITUTE(B92," ",""),"|","")=A92,"OK","Split letters don't match"))</f>
        <v/>
      </c>
      <c r="O92" s="12" t="str">
        <f aca="false">IF(A92="","",IF(AND(J92="Approved",K92&lt;&gt;"",L92&lt;&gt;"",N92="OK"),"Ready","Not yet"))</f>
        <v/>
      </c>
    </row>
    <row r="93" customFormat="false" ht="15" hidden="false" customHeight="false" outlineLevel="0" collapsed="false">
      <c r="A93" s="11"/>
      <c r="B93" s="11"/>
      <c r="C93" s="11"/>
      <c r="D93" s="11"/>
      <c r="E93" s="11"/>
      <c r="F93" s="11"/>
      <c r="G93" s="11"/>
      <c r="H93" s="11"/>
      <c r="I93" s="11"/>
      <c r="J93" s="11"/>
      <c r="K93" s="11"/>
      <c r="L93" s="11"/>
      <c r="M93" s="11"/>
      <c r="N93" s="11" t="str">
        <f aca="false">IF(A93="","",IF(SUBSTITUTE(SUBSTITUTE(B93," ",""),"|","")=A93,"OK","Split letters don't match"))</f>
        <v/>
      </c>
      <c r="O93" s="12" t="str">
        <f aca="false">IF(A93="","",IF(AND(J93="Approved",K93&lt;&gt;"",L93&lt;&gt;"",N93="OK"),"Ready","Not yet"))</f>
        <v/>
      </c>
    </row>
    <row r="94" customFormat="false" ht="15" hidden="false" customHeight="false" outlineLevel="0" collapsed="false">
      <c r="A94" s="11"/>
      <c r="B94" s="11"/>
      <c r="C94" s="11"/>
      <c r="D94" s="11"/>
      <c r="E94" s="11"/>
      <c r="F94" s="11"/>
      <c r="G94" s="11"/>
      <c r="H94" s="11"/>
      <c r="I94" s="11"/>
      <c r="J94" s="11"/>
      <c r="K94" s="11"/>
      <c r="L94" s="11"/>
      <c r="M94" s="11"/>
      <c r="N94" s="11" t="str">
        <f aca="false">IF(A94="","",IF(SUBSTITUTE(SUBSTITUTE(B94," ",""),"|","")=A94,"OK","Split letters don't match"))</f>
        <v/>
      </c>
      <c r="O94" s="12" t="str">
        <f aca="false">IF(A94="","",IF(AND(J94="Approved",K94&lt;&gt;"",L94&lt;&gt;"",N94="OK"),"Ready","Not yet"))</f>
        <v/>
      </c>
    </row>
    <row r="95" customFormat="false" ht="15" hidden="false" customHeight="false" outlineLevel="0" collapsed="false">
      <c r="A95" s="11"/>
      <c r="B95" s="11"/>
      <c r="C95" s="11"/>
      <c r="D95" s="11"/>
      <c r="E95" s="11"/>
      <c r="F95" s="11"/>
      <c r="G95" s="11"/>
      <c r="H95" s="11"/>
      <c r="I95" s="11"/>
      <c r="J95" s="11"/>
      <c r="K95" s="11"/>
      <c r="L95" s="11"/>
      <c r="M95" s="11"/>
      <c r="N95" s="11" t="str">
        <f aca="false">IF(A95="","",IF(SUBSTITUTE(SUBSTITUTE(B95," ",""),"|","")=A95,"OK","Split letters don't match"))</f>
        <v/>
      </c>
      <c r="O95" s="12" t="str">
        <f aca="false">IF(A95="","",IF(AND(J95="Approved",K95&lt;&gt;"",L95&lt;&gt;"",N95="OK"),"Ready","Not yet"))</f>
        <v/>
      </c>
    </row>
    <row r="96" customFormat="false" ht="15" hidden="false" customHeight="false" outlineLevel="0" collapsed="false">
      <c r="A96" s="11"/>
      <c r="B96" s="11"/>
      <c r="C96" s="11"/>
      <c r="D96" s="11"/>
      <c r="E96" s="11"/>
      <c r="F96" s="11"/>
      <c r="G96" s="11"/>
      <c r="H96" s="11"/>
      <c r="I96" s="11"/>
      <c r="J96" s="11"/>
      <c r="K96" s="11"/>
      <c r="L96" s="11"/>
      <c r="M96" s="11"/>
      <c r="N96" s="11" t="str">
        <f aca="false">IF(A96="","",IF(SUBSTITUTE(SUBSTITUTE(B96," ",""),"|","")=A96,"OK","Split letters don't match"))</f>
        <v/>
      </c>
      <c r="O96" s="12" t="str">
        <f aca="false">IF(A96="","",IF(AND(J96="Approved",K96&lt;&gt;"",L96&lt;&gt;"",N96="OK"),"Ready","Not yet"))</f>
        <v/>
      </c>
    </row>
    <row r="97" customFormat="false" ht="15" hidden="false" customHeight="false" outlineLevel="0" collapsed="false">
      <c r="A97" s="11"/>
      <c r="B97" s="11"/>
      <c r="C97" s="11"/>
      <c r="D97" s="11"/>
      <c r="E97" s="11"/>
      <c r="F97" s="11"/>
      <c r="G97" s="11"/>
      <c r="H97" s="11"/>
      <c r="I97" s="11"/>
      <c r="J97" s="11"/>
      <c r="K97" s="11"/>
      <c r="L97" s="11"/>
      <c r="M97" s="11"/>
      <c r="N97" s="11" t="str">
        <f aca="false">IF(A97="","",IF(SUBSTITUTE(SUBSTITUTE(B97," ",""),"|","")=A97,"OK","Split letters don't match"))</f>
        <v/>
      </c>
      <c r="O97" s="12" t="str">
        <f aca="false">IF(A97="","",IF(AND(J97="Approved",K97&lt;&gt;"",L97&lt;&gt;"",N97="OK"),"Ready","Not yet"))</f>
        <v/>
      </c>
    </row>
    <row r="98" customFormat="false" ht="15" hidden="false" customHeight="false" outlineLevel="0" collapsed="false">
      <c r="A98" s="11"/>
      <c r="B98" s="11"/>
      <c r="C98" s="11"/>
      <c r="D98" s="11"/>
      <c r="E98" s="11"/>
      <c r="F98" s="11"/>
      <c r="G98" s="11"/>
      <c r="H98" s="11"/>
      <c r="I98" s="11"/>
      <c r="J98" s="11"/>
      <c r="K98" s="11"/>
      <c r="L98" s="11"/>
      <c r="M98" s="11"/>
      <c r="N98" s="11" t="str">
        <f aca="false">IF(A98="","",IF(SUBSTITUTE(SUBSTITUTE(B98," ",""),"|","")=A98,"OK","Split letters don't match"))</f>
        <v/>
      </c>
      <c r="O98" s="12" t="str">
        <f aca="false">IF(A98="","",IF(AND(J98="Approved",K98&lt;&gt;"",L98&lt;&gt;"",N98="OK"),"Ready","Not yet"))</f>
        <v/>
      </c>
    </row>
    <row r="99" customFormat="false" ht="15" hidden="false" customHeight="false" outlineLevel="0" collapsed="false">
      <c r="A99" s="11"/>
      <c r="B99" s="11"/>
      <c r="C99" s="11"/>
      <c r="D99" s="11"/>
      <c r="E99" s="11"/>
      <c r="F99" s="11"/>
      <c r="G99" s="11"/>
      <c r="H99" s="11"/>
      <c r="I99" s="11"/>
      <c r="J99" s="11"/>
      <c r="K99" s="11"/>
      <c r="L99" s="11"/>
      <c r="M99" s="11"/>
      <c r="N99" s="11" t="str">
        <f aca="false">IF(A99="","",IF(SUBSTITUTE(SUBSTITUTE(B99," ",""),"|","")=A99,"OK","Split letters don't match"))</f>
        <v/>
      </c>
      <c r="O99" s="12" t="str">
        <f aca="false">IF(A99="","",IF(AND(J99="Approved",K99&lt;&gt;"",L99&lt;&gt;"",N99="OK"),"Ready","Not yet"))</f>
        <v/>
      </c>
    </row>
    <row r="100" customFormat="false" ht="15" hidden="false" customHeight="false" outlineLevel="0" collapsed="false">
      <c r="A100" s="11"/>
      <c r="B100" s="11"/>
      <c r="C100" s="11"/>
      <c r="D100" s="11"/>
      <c r="E100" s="11"/>
      <c r="F100" s="11"/>
      <c r="G100" s="11"/>
      <c r="H100" s="11"/>
      <c r="I100" s="11"/>
      <c r="J100" s="11"/>
      <c r="K100" s="11"/>
      <c r="L100" s="11"/>
      <c r="M100" s="11"/>
      <c r="N100" s="11" t="str">
        <f aca="false">IF(A100="","",IF(SUBSTITUTE(SUBSTITUTE(B100," ",""),"|","")=A100,"OK","Split letters don't match"))</f>
        <v/>
      </c>
      <c r="O100" s="12" t="str">
        <f aca="false">IF(A100="","",IF(AND(J100="Approved",K100&lt;&gt;"",L100&lt;&gt;"",N100="OK"),"Ready","Not yet"))</f>
        <v/>
      </c>
    </row>
    <row r="101" customFormat="false" ht="15" hidden="false" customHeight="false" outlineLevel="0" collapsed="false">
      <c r="A101" s="11"/>
      <c r="B101" s="11"/>
      <c r="C101" s="11"/>
      <c r="D101" s="11"/>
      <c r="E101" s="11"/>
      <c r="F101" s="11"/>
      <c r="G101" s="11"/>
      <c r="H101" s="11"/>
      <c r="I101" s="11"/>
      <c r="J101" s="11"/>
      <c r="K101" s="11"/>
      <c r="L101" s="11"/>
      <c r="M101" s="11"/>
      <c r="N101" s="11" t="str">
        <f aca="false">IF(A101="","",IF(SUBSTITUTE(SUBSTITUTE(B101," ",""),"|","")=A101,"OK","Split letters don't match"))</f>
        <v/>
      </c>
      <c r="O101" s="12" t="str">
        <f aca="false">IF(A101="","",IF(AND(J101="Approved",K101&lt;&gt;"",L101&lt;&gt;"",N101="OK"),"Ready","Not yet"))</f>
        <v/>
      </c>
    </row>
    <row r="102" customFormat="false" ht="15" hidden="false" customHeight="false" outlineLevel="0" collapsed="false">
      <c r="A102" s="11"/>
      <c r="B102" s="11"/>
      <c r="C102" s="11"/>
      <c r="D102" s="11"/>
      <c r="E102" s="11"/>
      <c r="F102" s="11"/>
      <c r="G102" s="11"/>
      <c r="H102" s="11"/>
      <c r="I102" s="11"/>
      <c r="J102" s="11"/>
      <c r="K102" s="11"/>
      <c r="L102" s="11"/>
      <c r="M102" s="11"/>
      <c r="N102" s="11" t="str">
        <f aca="false">IF(A102="","",IF(SUBSTITUTE(SUBSTITUTE(B102," ",""),"|","")=A102,"OK","Split letters don't match"))</f>
        <v/>
      </c>
      <c r="O102" s="12" t="str">
        <f aca="false">IF(A102="","",IF(AND(J102="Approved",K102&lt;&gt;"",L102&lt;&gt;"",N102="OK"),"Ready","Not yet"))</f>
        <v/>
      </c>
    </row>
    <row r="103" customFormat="false" ht="15" hidden="false" customHeight="false" outlineLevel="0" collapsed="false">
      <c r="A103" s="11"/>
      <c r="B103" s="11"/>
      <c r="C103" s="11"/>
      <c r="D103" s="11"/>
      <c r="E103" s="11"/>
      <c r="F103" s="11"/>
      <c r="G103" s="11"/>
      <c r="H103" s="11"/>
      <c r="I103" s="11"/>
      <c r="J103" s="11"/>
      <c r="K103" s="11"/>
      <c r="L103" s="11"/>
      <c r="M103" s="11"/>
      <c r="N103" s="11" t="str">
        <f aca="false">IF(A103="","",IF(SUBSTITUTE(SUBSTITUTE(B103," ",""),"|","")=A103,"OK","Split letters don't match"))</f>
        <v/>
      </c>
      <c r="O103" s="12" t="str">
        <f aca="false">IF(A103="","",IF(AND(J103="Approved",K103&lt;&gt;"",L103&lt;&gt;"",N103="OK"),"Ready","Not yet"))</f>
        <v/>
      </c>
    </row>
    <row r="104" customFormat="false" ht="15" hidden="false" customHeight="false" outlineLevel="0" collapsed="false">
      <c r="A104" s="11"/>
      <c r="B104" s="11"/>
      <c r="C104" s="11"/>
      <c r="D104" s="11"/>
      <c r="E104" s="11"/>
      <c r="F104" s="11"/>
      <c r="G104" s="11"/>
      <c r="H104" s="11"/>
      <c r="I104" s="11"/>
      <c r="J104" s="11"/>
      <c r="K104" s="11"/>
      <c r="L104" s="11"/>
      <c r="M104" s="11"/>
      <c r="N104" s="11" t="str">
        <f aca="false">IF(A104="","",IF(SUBSTITUTE(SUBSTITUTE(B104," ",""),"|","")=A104,"OK","Split letters don't match"))</f>
        <v/>
      </c>
      <c r="O104" s="12" t="str">
        <f aca="false">IF(A104="","",IF(AND(J104="Approved",K104&lt;&gt;"",L104&lt;&gt;"",N104="OK"),"Ready","Not yet"))</f>
        <v/>
      </c>
    </row>
    <row r="105" customFormat="false" ht="15" hidden="false" customHeight="false" outlineLevel="0" collapsed="false">
      <c r="A105" s="11"/>
      <c r="B105" s="11"/>
      <c r="C105" s="11"/>
      <c r="D105" s="11"/>
      <c r="E105" s="11"/>
      <c r="F105" s="11"/>
      <c r="G105" s="11"/>
      <c r="H105" s="11"/>
      <c r="I105" s="11"/>
      <c r="J105" s="11"/>
      <c r="K105" s="11"/>
      <c r="L105" s="11"/>
      <c r="M105" s="11"/>
      <c r="N105" s="11" t="str">
        <f aca="false">IF(A105="","",IF(SUBSTITUTE(SUBSTITUTE(B105," ",""),"|","")=A105,"OK","Split letters don't match"))</f>
        <v/>
      </c>
      <c r="O105" s="12" t="str">
        <f aca="false">IF(A105="","",IF(AND(J105="Approved",K105&lt;&gt;"",L105&lt;&gt;"",N105="OK"),"Ready","Not yet"))</f>
        <v/>
      </c>
    </row>
    <row r="106" customFormat="false" ht="15" hidden="false" customHeight="false" outlineLevel="0" collapsed="false">
      <c r="A106" s="11"/>
      <c r="B106" s="11"/>
      <c r="C106" s="11"/>
      <c r="D106" s="11"/>
      <c r="E106" s="11"/>
      <c r="F106" s="11"/>
      <c r="G106" s="11"/>
      <c r="H106" s="11"/>
      <c r="I106" s="11"/>
      <c r="J106" s="11"/>
      <c r="K106" s="11"/>
      <c r="L106" s="11"/>
      <c r="M106" s="11"/>
      <c r="N106" s="11" t="str">
        <f aca="false">IF(A106="","",IF(SUBSTITUTE(SUBSTITUTE(B106," ",""),"|","")=A106,"OK","Split letters don't match"))</f>
        <v/>
      </c>
      <c r="O106" s="12" t="str">
        <f aca="false">IF(A106="","",IF(AND(J106="Approved",K106&lt;&gt;"",L106&lt;&gt;"",N106="OK"),"Ready","Not yet"))</f>
        <v/>
      </c>
    </row>
    <row r="107" customFormat="false" ht="15" hidden="false" customHeight="false" outlineLevel="0" collapsed="false">
      <c r="A107" s="11"/>
      <c r="B107" s="11"/>
      <c r="C107" s="11"/>
      <c r="D107" s="11"/>
      <c r="E107" s="11"/>
      <c r="F107" s="11"/>
      <c r="G107" s="11"/>
      <c r="H107" s="11"/>
      <c r="I107" s="11"/>
      <c r="J107" s="11"/>
      <c r="K107" s="11"/>
      <c r="L107" s="11"/>
      <c r="M107" s="11"/>
      <c r="N107" s="11" t="str">
        <f aca="false">IF(A107="","",IF(SUBSTITUTE(SUBSTITUTE(B107," ",""),"|","")=A107,"OK","Split letters don't match"))</f>
        <v/>
      </c>
      <c r="O107" s="12" t="str">
        <f aca="false">IF(A107="","",IF(AND(J107="Approved",K107&lt;&gt;"",L107&lt;&gt;"",N107="OK"),"Ready","Not yet"))</f>
        <v/>
      </c>
    </row>
    <row r="108" customFormat="false" ht="15" hidden="false" customHeight="false" outlineLevel="0" collapsed="false">
      <c r="A108" s="11"/>
      <c r="B108" s="11"/>
      <c r="C108" s="11"/>
      <c r="D108" s="11"/>
      <c r="E108" s="11"/>
      <c r="F108" s="11"/>
      <c r="G108" s="11"/>
      <c r="H108" s="11"/>
      <c r="I108" s="11"/>
      <c r="J108" s="11"/>
      <c r="K108" s="11"/>
      <c r="L108" s="11"/>
      <c r="M108" s="11"/>
      <c r="N108" s="11" t="str">
        <f aca="false">IF(A108="","",IF(SUBSTITUTE(SUBSTITUTE(B108," ",""),"|","")=A108,"OK","Split letters don't match"))</f>
        <v/>
      </c>
      <c r="O108" s="12" t="str">
        <f aca="false">IF(A108="","",IF(AND(J108="Approved",K108&lt;&gt;"",L108&lt;&gt;"",N108="OK"),"Ready","Not yet"))</f>
        <v/>
      </c>
    </row>
    <row r="109" customFormat="false" ht="15" hidden="false" customHeight="false" outlineLevel="0" collapsed="false">
      <c r="A109" s="11"/>
      <c r="B109" s="11"/>
      <c r="C109" s="11"/>
      <c r="D109" s="11"/>
      <c r="E109" s="11"/>
      <c r="F109" s="11"/>
      <c r="G109" s="11"/>
      <c r="H109" s="11"/>
      <c r="I109" s="11"/>
      <c r="J109" s="11"/>
      <c r="K109" s="11"/>
      <c r="L109" s="11"/>
      <c r="M109" s="11"/>
      <c r="N109" s="11" t="str">
        <f aca="false">IF(A109="","",IF(SUBSTITUTE(SUBSTITUTE(B109," ",""),"|","")=A109,"OK","Split letters don't match"))</f>
        <v/>
      </c>
      <c r="O109" s="12" t="str">
        <f aca="false">IF(A109="","",IF(AND(J109="Approved",K109&lt;&gt;"",L109&lt;&gt;"",N109="OK"),"Ready","Not yet"))</f>
        <v/>
      </c>
    </row>
    <row r="110" customFormat="false" ht="15" hidden="false" customHeight="false" outlineLevel="0" collapsed="false">
      <c r="A110" s="11"/>
      <c r="B110" s="11"/>
      <c r="C110" s="11"/>
      <c r="D110" s="11"/>
      <c r="E110" s="11"/>
      <c r="F110" s="11"/>
      <c r="G110" s="11"/>
      <c r="H110" s="11"/>
      <c r="I110" s="11"/>
      <c r="J110" s="11"/>
      <c r="K110" s="11"/>
      <c r="L110" s="11"/>
      <c r="M110" s="11"/>
      <c r="N110" s="11" t="str">
        <f aca="false">IF(A110="","",IF(SUBSTITUTE(SUBSTITUTE(B110," ",""),"|","")=A110,"OK","Split letters don't match"))</f>
        <v/>
      </c>
      <c r="O110" s="12" t="str">
        <f aca="false">IF(A110="","",IF(AND(J110="Approved",K110&lt;&gt;"",L110&lt;&gt;"",N110="OK"),"Ready","Not yet"))</f>
        <v/>
      </c>
    </row>
    <row r="111" customFormat="false" ht="15" hidden="false" customHeight="false" outlineLevel="0" collapsed="false">
      <c r="A111" s="11"/>
      <c r="B111" s="11"/>
      <c r="C111" s="11"/>
      <c r="D111" s="11"/>
      <c r="E111" s="11"/>
      <c r="F111" s="11"/>
      <c r="G111" s="11"/>
      <c r="H111" s="11"/>
      <c r="I111" s="11"/>
      <c r="J111" s="11"/>
      <c r="K111" s="11"/>
      <c r="L111" s="11"/>
      <c r="M111" s="11"/>
      <c r="N111" s="11" t="str">
        <f aca="false">IF(A111="","",IF(SUBSTITUTE(SUBSTITUTE(B111," ",""),"|","")=A111,"OK","Split letters don't match"))</f>
        <v/>
      </c>
      <c r="O111" s="12" t="str">
        <f aca="false">IF(A111="","",IF(AND(J111="Approved",K111&lt;&gt;"",L111&lt;&gt;"",N111="OK"),"Ready","Not yet"))</f>
        <v/>
      </c>
    </row>
    <row r="112" customFormat="false" ht="15" hidden="false" customHeight="false" outlineLevel="0" collapsed="false">
      <c r="A112" s="11"/>
      <c r="B112" s="11"/>
      <c r="C112" s="11"/>
      <c r="D112" s="11"/>
      <c r="E112" s="11"/>
      <c r="F112" s="11"/>
      <c r="G112" s="11"/>
      <c r="H112" s="11"/>
      <c r="I112" s="11"/>
      <c r="J112" s="11"/>
      <c r="K112" s="11"/>
      <c r="L112" s="11"/>
      <c r="M112" s="11"/>
      <c r="N112" s="11" t="str">
        <f aca="false">IF(A112="","",IF(SUBSTITUTE(SUBSTITUTE(B112," ",""),"|","")=A112,"OK","Split letters don't match"))</f>
        <v/>
      </c>
      <c r="O112" s="12" t="str">
        <f aca="false">IF(A112="","",IF(AND(J112="Approved",K112&lt;&gt;"",L112&lt;&gt;"",N112="OK"),"Ready","Not yet"))</f>
        <v/>
      </c>
    </row>
    <row r="113" customFormat="false" ht="15" hidden="false" customHeight="false" outlineLevel="0" collapsed="false">
      <c r="A113" s="11"/>
      <c r="B113" s="11"/>
      <c r="C113" s="11"/>
      <c r="D113" s="11"/>
      <c r="E113" s="11"/>
      <c r="F113" s="11"/>
      <c r="G113" s="11"/>
      <c r="H113" s="11"/>
      <c r="I113" s="11"/>
      <c r="J113" s="11"/>
      <c r="K113" s="11"/>
      <c r="L113" s="11"/>
      <c r="M113" s="11"/>
      <c r="N113" s="11" t="str">
        <f aca="false">IF(A113="","",IF(SUBSTITUTE(SUBSTITUTE(B113," ",""),"|","")=A113,"OK","Split letters don't match"))</f>
        <v/>
      </c>
      <c r="O113" s="12" t="str">
        <f aca="false">IF(A113="","",IF(AND(J113="Approved",K113&lt;&gt;"",L113&lt;&gt;"",N113="OK"),"Ready","Not yet"))</f>
        <v/>
      </c>
    </row>
    <row r="114" customFormat="false" ht="15" hidden="false" customHeight="false" outlineLevel="0" collapsed="false">
      <c r="A114" s="11"/>
      <c r="B114" s="11"/>
      <c r="C114" s="11"/>
      <c r="D114" s="11"/>
      <c r="E114" s="11"/>
      <c r="F114" s="11"/>
      <c r="G114" s="11"/>
      <c r="H114" s="11"/>
      <c r="I114" s="11"/>
      <c r="J114" s="11"/>
      <c r="K114" s="11"/>
      <c r="L114" s="11"/>
      <c r="M114" s="11"/>
      <c r="N114" s="11" t="str">
        <f aca="false">IF(A114="","",IF(SUBSTITUTE(SUBSTITUTE(B114," ",""),"|","")=A114,"OK","Split letters don't match"))</f>
        <v/>
      </c>
      <c r="O114" s="12" t="str">
        <f aca="false">IF(A114="","",IF(AND(J114="Approved",K114&lt;&gt;"",L114&lt;&gt;"",N114="OK"),"Ready","Not yet"))</f>
        <v/>
      </c>
    </row>
    <row r="115" customFormat="false" ht="15" hidden="false" customHeight="false" outlineLevel="0" collapsed="false">
      <c r="A115" s="11"/>
      <c r="B115" s="11"/>
      <c r="C115" s="11"/>
      <c r="D115" s="11"/>
      <c r="E115" s="11"/>
      <c r="F115" s="11"/>
      <c r="G115" s="11"/>
      <c r="H115" s="11"/>
      <c r="I115" s="11"/>
      <c r="J115" s="11"/>
      <c r="K115" s="11"/>
      <c r="L115" s="11"/>
      <c r="M115" s="11"/>
      <c r="N115" s="11" t="str">
        <f aca="false">IF(A115="","",IF(SUBSTITUTE(SUBSTITUTE(B115," ",""),"|","")=A115,"OK","Split letters don't match"))</f>
        <v/>
      </c>
      <c r="O115" s="12" t="str">
        <f aca="false">IF(A115="","",IF(AND(J115="Approved",K115&lt;&gt;"",L115&lt;&gt;"",N115="OK"),"Ready","Not yet"))</f>
        <v/>
      </c>
    </row>
    <row r="116" customFormat="false" ht="15" hidden="false" customHeight="false" outlineLevel="0" collapsed="false">
      <c r="A116" s="11"/>
      <c r="B116" s="11"/>
      <c r="C116" s="11"/>
      <c r="D116" s="11"/>
      <c r="E116" s="11"/>
      <c r="F116" s="11"/>
      <c r="G116" s="11"/>
      <c r="H116" s="11"/>
      <c r="I116" s="11"/>
      <c r="J116" s="11"/>
      <c r="K116" s="11"/>
      <c r="L116" s="11"/>
      <c r="M116" s="11"/>
      <c r="N116" s="11" t="str">
        <f aca="false">IF(A116="","",IF(SUBSTITUTE(SUBSTITUTE(B116," ",""),"|","")=A116,"OK","Split letters don't match"))</f>
        <v/>
      </c>
      <c r="O116" s="12" t="str">
        <f aca="false">IF(A116="","",IF(AND(J116="Approved",K116&lt;&gt;"",L116&lt;&gt;"",N116="OK"),"Ready","Not yet"))</f>
        <v/>
      </c>
    </row>
    <row r="117" customFormat="false" ht="15" hidden="false" customHeight="false" outlineLevel="0" collapsed="false">
      <c r="A117" s="11"/>
      <c r="B117" s="11"/>
      <c r="C117" s="11"/>
      <c r="D117" s="11"/>
      <c r="E117" s="11"/>
      <c r="F117" s="11"/>
      <c r="G117" s="11"/>
      <c r="H117" s="11"/>
      <c r="I117" s="11"/>
      <c r="J117" s="11"/>
      <c r="K117" s="11"/>
      <c r="L117" s="11"/>
      <c r="M117" s="11"/>
      <c r="N117" s="11" t="str">
        <f aca="false">IF(A117="","",IF(SUBSTITUTE(SUBSTITUTE(B117," ",""),"|","")=A117,"OK","Split letters don't match"))</f>
        <v/>
      </c>
      <c r="O117" s="12" t="str">
        <f aca="false">IF(A117="","",IF(AND(J117="Approved",K117&lt;&gt;"",L117&lt;&gt;"",N117="OK"),"Ready","Not yet"))</f>
        <v/>
      </c>
    </row>
    <row r="118" customFormat="false" ht="15" hidden="false" customHeight="false" outlineLevel="0" collapsed="false">
      <c r="A118" s="11"/>
      <c r="B118" s="11"/>
      <c r="C118" s="11"/>
      <c r="D118" s="11"/>
      <c r="E118" s="11"/>
      <c r="F118" s="11"/>
      <c r="G118" s="11"/>
      <c r="H118" s="11"/>
      <c r="I118" s="11"/>
      <c r="J118" s="11"/>
      <c r="K118" s="11"/>
      <c r="L118" s="11"/>
      <c r="M118" s="11"/>
      <c r="N118" s="11" t="str">
        <f aca="false">IF(A118="","",IF(SUBSTITUTE(SUBSTITUTE(B118," ",""),"|","")=A118,"OK","Split letters don't match"))</f>
        <v/>
      </c>
      <c r="O118" s="12" t="str">
        <f aca="false">IF(A118="","",IF(AND(J118="Approved",K118&lt;&gt;"",L118&lt;&gt;"",N118="OK"),"Ready","Not yet"))</f>
        <v/>
      </c>
    </row>
    <row r="119" customFormat="false" ht="15" hidden="false" customHeight="false" outlineLevel="0" collapsed="false">
      <c r="A119" s="11"/>
      <c r="B119" s="11"/>
      <c r="C119" s="11"/>
      <c r="D119" s="11"/>
      <c r="E119" s="11"/>
      <c r="F119" s="11"/>
      <c r="G119" s="11"/>
      <c r="H119" s="11"/>
      <c r="I119" s="11"/>
      <c r="J119" s="11"/>
      <c r="K119" s="11"/>
      <c r="L119" s="11"/>
      <c r="M119" s="11"/>
      <c r="N119" s="11" t="str">
        <f aca="false">IF(A119="","",IF(SUBSTITUTE(SUBSTITUTE(B119," ",""),"|","")=A119,"OK","Split letters don't match"))</f>
        <v/>
      </c>
      <c r="O119" s="12" t="str">
        <f aca="false">IF(A119="","",IF(AND(J119="Approved",K119&lt;&gt;"",L119&lt;&gt;"",N119="OK"),"Ready","Not yet"))</f>
        <v/>
      </c>
    </row>
    <row r="120" customFormat="false" ht="15" hidden="false" customHeight="false" outlineLevel="0" collapsed="false">
      <c r="A120" s="11"/>
      <c r="B120" s="11"/>
      <c r="C120" s="11"/>
      <c r="D120" s="11"/>
      <c r="E120" s="11"/>
      <c r="F120" s="11"/>
      <c r="G120" s="11"/>
      <c r="H120" s="11"/>
      <c r="I120" s="11"/>
      <c r="J120" s="11"/>
      <c r="K120" s="11"/>
      <c r="L120" s="11"/>
      <c r="M120" s="11"/>
      <c r="N120" s="11" t="str">
        <f aca="false">IF(A120="","",IF(SUBSTITUTE(SUBSTITUTE(B120," ",""),"|","")=A120,"OK","Split letters don't match"))</f>
        <v/>
      </c>
      <c r="O120" s="12" t="str">
        <f aca="false">IF(A120="","",IF(AND(J120="Approved",K120&lt;&gt;"",L120&lt;&gt;"",N120="OK"),"Ready","Not yet"))</f>
        <v/>
      </c>
    </row>
    <row r="121" customFormat="false" ht="15" hidden="false" customHeight="false" outlineLevel="0" collapsed="false">
      <c r="A121" s="11"/>
      <c r="B121" s="11"/>
      <c r="C121" s="11"/>
      <c r="D121" s="11"/>
      <c r="E121" s="11"/>
      <c r="F121" s="11"/>
      <c r="G121" s="11"/>
      <c r="H121" s="11"/>
      <c r="I121" s="11"/>
      <c r="J121" s="11"/>
      <c r="K121" s="11"/>
      <c r="L121" s="11"/>
      <c r="M121" s="11"/>
      <c r="N121" s="11" t="str">
        <f aca="false">IF(A121="","",IF(SUBSTITUTE(SUBSTITUTE(B121," ",""),"|","")=A121,"OK","Split letters don't match"))</f>
        <v/>
      </c>
      <c r="O121" s="12" t="str">
        <f aca="false">IF(A121="","",IF(AND(J121="Approved",K121&lt;&gt;"",L121&lt;&gt;"",N121="OK"),"Ready","Not yet"))</f>
        <v/>
      </c>
    </row>
    <row r="122" customFormat="false" ht="15" hidden="false" customHeight="false" outlineLevel="0" collapsed="false">
      <c r="A122" s="11"/>
      <c r="B122" s="11"/>
      <c r="C122" s="11"/>
      <c r="D122" s="11"/>
      <c r="E122" s="11"/>
      <c r="F122" s="11"/>
      <c r="G122" s="11"/>
      <c r="H122" s="11"/>
      <c r="I122" s="11"/>
      <c r="J122" s="11"/>
      <c r="K122" s="11"/>
      <c r="L122" s="11"/>
      <c r="M122" s="11"/>
      <c r="N122" s="11" t="str">
        <f aca="false">IF(A122="","",IF(SUBSTITUTE(SUBSTITUTE(B122," ",""),"|","")=A122,"OK","Split letters don't match"))</f>
        <v/>
      </c>
      <c r="O122" s="12" t="str">
        <f aca="false">IF(A122="","",IF(AND(J122="Approved",K122&lt;&gt;"",L122&lt;&gt;"",N122="OK"),"Ready","Not yet"))</f>
        <v/>
      </c>
    </row>
    <row r="123" customFormat="false" ht="15" hidden="false" customHeight="false" outlineLevel="0" collapsed="false">
      <c r="A123" s="11"/>
      <c r="B123" s="11"/>
      <c r="C123" s="11"/>
      <c r="D123" s="11"/>
      <c r="E123" s="11"/>
      <c r="F123" s="11"/>
      <c r="G123" s="11"/>
      <c r="H123" s="11"/>
      <c r="I123" s="11"/>
      <c r="J123" s="11"/>
      <c r="K123" s="11"/>
      <c r="L123" s="11"/>
      <c r="M123" s="11"/>
      <c r="N123" s="11" t="str">
        <f aca="false">IF(A123="","",IF(SUBSTITUTE(SUBSTITUTE(B123," ",""),"|","")=A123,"OK","Split letters don't match"))</f>
        <v/>
      </c>
      <c r="O123" s="12" t="str">
        <f aca="false">IF(A123="","",IF(AND(J123="Approved",K123&lt;&gt;"",L123&lt;&gt;"",N123="OK"),"Ready","Not yet"))</f>
        <v/>
      </c>
    </row>
    <row r="124" customFormat="false" ht="15" hidden="false" customHeight="false" outlineLevel="0" collapsed="false">
      <c r="A124" s="11"/>
      <c r="B124" s="11"/>
      <c r="C124" s="11"/>
      <c r="D124" s="11"/>
      <c r="E124" s="11"/>
      <c r="F124" s="11"/>
      <c r="G124" s="11"/>
      <c r="H124" s="11"/>
      <c r="I124" s="11"/>
      <c r="J124" s="11"/>
      <c r="K124" s="11"/>
      <c r="L124" s="11"/>
      <c r="M124" s="11"/>
      <c r="N124" s="11" t="str">
        <f aca="false">IF(A124="","",IF(SUBSTITUTE(SUBSTITUTE(B124," ",""),"|","")=A124,"OK","Split letters don't match"))</f>
        <v/>
      </c>
      <c r="O124" s="12" t="str">
        <f aca="false">IF(A124="","",IF(AND(J124="Approved",K124&lt;&gt;"",L124&lt;&gt;"",N124="OK"),"Ready","Not yet"))</f>
        <v/>
      </c>
    </row>
    <row r="125" customFormat="false" ht="15" hidden="false" customHeight="false" outlineLevel="0" collapsed="false">
      <c r="A125" s="11"/>
      <c r="B125" s="11"/>
      <c r="C125" s="11"/>
      <c r="D125" s="11"/>
      <c r="E125" s="11"/>
      <c r="F125" s="11"/>
      <c r="G125" s="11"/>
      <c r="H125" s="11"/>
      <c r="I125" s="11"/>
      <c r="J125" s="11"/>
      <c r="K125" s="11"/>
      <c r="L125" s="11"/>
      <c r="M125" s="11"/>
      <c r="N125" s="11" t="str">
        <f aca="false">IF(A125="","",IF(SUBSTITUTE(SUBSTITUTE(B125," ",""),"|","")=A125,"OK","Split letters don't match"))</f>
        <v/>
      </c>
      <c r="O125" s="12" t="str">
        <f aca="false">IF(A125="","",IF(AND(J125="Approved",K125&lt;&gt;"",L125&lt;&gt;"",N125="OK"),"Ready","Not yet"))</f>
        <v/>
      </c>
    </row>
    <row r="126" customFormat="false" ht="15" hidden="false" customHeight="false" outlineLevel="0" collapsed="false">
      <c r="A126" s="11"/>
      <c r="B126" s="11"/>
      <c r="C126" s="11"/>
      <c r="D126" s="11"/>
      <c r="E126" s="11"/>
      <c r="F126" s="11"/>
      <c r="G126" s="11"/>
      <c r="H126" s="11"/>
      <c r="I126" s="11"/>
      <c r="J126" s="11"/>
      <c r="K126" s="11"/>
      <c r="L126" s="11"/>
      <c r="M126" s="11"/>
      <c r="N126" s="11" t="str">
        <f aca="false">IF(A126="","",IF(SUBSTITUTE(SUBSTITUTE(B126," ",""),"|","")=A126,"OK","Split letters don't match"))</f>
        <v/>
      </c>
      <c r="O126" s="12" t="str">
        <f aca="false">IF(A126="","",IF(AND(J126="Approved",K126&lt;&gt;"",L126&lt;&gt;"",N126="OK"),"Ready","Not yet"))</f>
        <v/>
      </c>
    </row>
    <row r="127" customFormat="false" ht="15" hidden="false" customHeight="false" outlineLevel="0" collapsed="false">
      <c r="A127" s="11"/>
      <c r="B127" s="11"/>
      <c r="C127" s="11"/>
      <c r="D127" s="11"/>
      <c r="E127" s="11"/>
      <c r="F127" s="11"/>
      <c r="G127" s="11"/>
      <c r="H127" s="11"/>
      <c r="I127" s="11"/>
      <c r="J127" s="11"/>
      <c r="K127" s="11"/>
      <c r="L127" s="11"/>
      <c r="M127" s="11"/>
      <c r="N127" s="11" t="str">
        <f aca="false">IF(A127="","",IF(SUBSTITUTE(SUBSTITUTE(B127," ",""),"|","")=A127,"OK","Split letters don't match"))</f>
        <v/>
      </c>
      <c r="O127" s="12" t="str">
        <f aca="false">IF(A127="","",IF(AND(J127="Approved",K127&lt;&gt;"",L127&lt;&gt;"",N127="OK"),"Ready","Not yet"))</f>
        <v/>
      </c>
    </row>
    <row r="128" customFormat="false" ht="15" hidden="false" customHeight="false" outlineLevel="0" collapsed="false">
      <c r="A128" s="11"/>
      <c r="B128" s="11"/>
      <c r="C128" s="11"/>
      <c r="D128" s="11"/>
      <c r="E128" s="11"/>
      <c r="F128" s="11"/>
      <c r="G128" s="11"/>
      <c r="H128" s="11"/>
      <c r="I128" s="11"/>
      <c r="J128" s="11"/>
      <c r="K128" s="11"/>
      <c r="L128" s="11"/>
      <c r="M128" s="11"/>
      <c r="N128" s="11" t="str">
        <f aca="false">IF(A128="","",IF(SUBSTITUTE(SUBSTITUTE(B128," ",""),"|","")=A128,"OK","Split letters don't match"))</f>
        <v/>
      </c>
      <c r="O128" s="12" t="str">
        <f aca="false">IF(A128="","",IF(AND(J128="Approved",K128&lt;&gt;"",L128&lt;&gt;"",N128="OK"),"Ready","Not yet"))</f>
        <v/>
      </c>
    </row>
    <row r="129" customFormat="false" ht="15" hidden="false" customHeight="false" outlineLevel="0" collapsed="false">
      <c r="A129" s="11"/>
      <c r="B129" s="11"/>
      <c r="C129" s="11"/>
      <c r="D129" s="11"/>
      <c r="E129" s="11"/>
      <c r="F129" s="11"/>
      <c r="G129" s="11"/>
      <c r="H129" s="11"/>
      <c r="I129" s="11"/>
      <c r="J129" s="11"/>
      <c r="K129" s="11"/>
      <c r="L129" s="11"/>
      <c r="M129" s="11"/>
      <c r="N129" s="11" t="str">
        <f aca="false">IF(A129="","",IF(SUBSTITUTE(SUBSTITUTE(B129," ",""),"|","")=A129,"OK","Split letters don't match"))</f>
        <v/>
      </c>
      <c r="O129" s="12" t="str">
        <f aca="false">IF(A129="","",IF(AND(J129="Approved",K129&lt;&gt;"",L129&lt;&gt;"",N129="OK"),"Ready","Not yet"))</f>
        <v/>
      </c>
    </row>
    <row r="130" customFormat="false" ht="15" hidden="false" customHeight="false" outlineLevel="0" collapsed="false">
      <c r="A130" s="11"/>
      <c r="B130" s="11"/>
      <c r="C130" s="11"/>
      <c r="D130" s="11"/>
      <c r="E130" s="11"/>
      <c r="F130" s="11"/>
      <c r="G130" s="11"/>
      <c r="H130" s="11"/>
      <c r="I130" s="11"/>
      <c r="J130" s="11"/>
      <c r="K130" s="11"/>
      <c r="L130" s="11"/>
      <c r="M130" s="11"/>
      <c r="N130" s="11" t="str">
        <f aca="false">IF(A130="","",IF(SUBSTITUTE(SUBSTITUTE(B130," ",""),"|","")=A130,"OK","Split letters don't match"))</f>
        <v/>
      </c>
      <c r="O130" s="12" t="str">
        <f aca="false">IF(A130="","",IF(AND(J130="Approved",K130&lt;&gt;"",L130&lt;&gt;"",N130="OK"),"Ready","Not yet"))</f>
        <v/>
      </c>
    </row>
    <row r="131" customFormat="false" ht="15" hidden="false" customHeight="false" outlineLevel="0" collapsed="false">
      <c r="A131" s="11"/>
      <c r="B131" s="11"/>
      <c r="C131" s="11"/>
      <c r="D131" s="11"/>
      <c r="E131" s="11"/>
      <c r="F131" s="11"/>
      <c r="G131" s="11"/>
      <c r="H131" s="11"/>
      <c r="I131" s="11"/>
      <c r="J131" s="11"/>
      <c r="K131" s="11"/>
      <c r="L131" s="11"/>
      <c r="M131" s="11"/>
      <c r="N131" s="11" t="str">
        <f aca="false">IF(A131="","",IF(SUBSTITUTE(SUBSTITUTE(B131," ",""),"|","")=A131,"OK","Split letters don't match"))</f>
        <v/>
      </c>
      <c r="O131" s="12" t="str">
        <f aca="false">IF(A131="","",IF(AND(J131="Approved",K131&lt;&gt;"",L131&lt;&gt;"",N131="OK"),"Ready","Not yet"))</f>
        <v/>
      </c>
    </row>
    <row r="132" customFormat="false" ht="15" hidden="false" customHeight="false" outlineLevel="0" collapsed="false">
      <c r="A132" s="11"/>
      <c r="B132" s="11"/>
      <c r="C132" s="11"/>
      <c r="D132" s="11"/>
      <c r="E132" s="11"/>
      <c r="F132" s="11"/>
      <c r="G132" s="11"/>
      <c r="H132" s="11"/>
      <c r="I132" s="11"/>
      <c r="J132" s="11"/>
      <c r="K132" s="11"/>
      <c r="L132" s="11"/>
      <c r="M132" s="11"/>
      <c r="N132" s="11" t="str">
        <f aca="false">IF(A132="","",IF(SUBSTITUTE(SUBSTITUTE(B132," ",""),"|","")=A132,"OK","Split letters don't match"))</f>
        <v/>
      </c>
      <c r="O132" s="12" t="str">
        <f aca="false">IF(A132="","",IF(AND(J132="Approved",K132&lt;&gt;"",L132&lt;&gt;"",N132="OK"),"Ready","Not yet"))</f>
        <v/>
      </c>
    </row>
    <row r="133" customFormat="false" ht="15" hidden="false" customHeight="false" outlineLevel="0" collapsed="false">
      <c r="A133" s="11"/>
      <c r="B133" s="11"/>
      <c r="C133" s="11"/>
      <c r="D133" s="11"/>
      <c r="E133" s="11"/>
      <c r="F133" s="11"/>
      <c r="G133" s="11"/>
      <c r="H133" s="11"/>
      <c r="I133" s="11"/>
      <c r="J133" s="11"/>
      <c r="K133" s="11"/>
      <c r="L133" s="11"/>
      <c r="M133" s="11"/>
      <c r="N133" s="11" t="str">
        <f aca="false">IF(A133="","",IF(SUBSTITUTE(SUBSTITUTE(B133," ",""),"|","")=A133,"OK","Split letters don't match"))</f>
        <v/>
      </c>
      <c r="O133" s="12" t="str">
        <f aca="false">IF(A133="","",IF(AND(J133="Approved",K133&lt;&gt;"",L133&lt;&gt;"",N133="OK"),"Ready","Not yet"))</f>
        <v/>
      </c>
    </row>
    <row r="134" customFormat="false" ht="15" hidden="false" customHeight="false" outlineLevel="0" collapsed="false">
      <c r="A134" s="11"/>
      <c r="B134" s="11"/>
      <c r="C134" s="11"/>
      <c r="D134" s="11"/>
      <c r="E134" s="11"/>
      <c r="F134" s="11"/>
      <c r="G134" s="11"/>
      <c r="H134" s="11"/>
      <c r="I134" s="11"/>
      <c r="J134" s="11"/>
      <c r="K134" s="11"/>
      <c r="L134" s="11"/>
      <c r="M134" s="11"/>
      <c r="N134" s="11" t="str">
        <f aca="false">IF(A134="","",IF(SUBSTITUTE(SUBSTITUTE(B134," ",""),"|","")=A134,"OK","Split letters don't match"))</f>
        <v/>
      </c>
      <c r="O134" s="12" t="str">
        <f aca="false">IF(A134="","",IF(AND(J134="Approved",K134&lt;&gt;"",L134&lt;&gt;"",N134="OK"),"Ready","Not yet"))</f>
        <v/>
      </c>
    </row>
    <row r="135" customFormat="false" ht="15" hidden="false" customHeight="false" outlineLevel="0" collapsed="false">
      <c r="A135" s="11"/>
      <c r="B135" s="11"/>
      <c r="C135" s="11"/>
      <c r="D135" s="11"/>
      <c r="E135" s="11"/>
      <c r="F135" s="11"/>
      <c r="G135" s="11"/>
      <c r="H135" s="11"/>
      <c r="I135" s="11"/>
      <c r="J135" s="11"/>
      <c r="K135" s="11"/>
      <c r="L135" s="11"/>
      <c r="M135" s="11"/>
      <c r="N135" s="11" t="str">
        <f aca="false">IF(A135="","",IF(SUBSTITUTE(SUBSTITUTE(B135," ",""),"|","")=A135,"OK","Split letters don't match"))</f>
        <v/>
      </c>
      <c r="O135" s="12" t="str">
        <f aca="false">IF(A135="","",IF(AND(J135="Approved",K135&lt;&gt;"",L135&lt;&gt;"",N135="OK"),"Ready","Not yet"))</f>
        <v/>
      </c>
    </row>
    <row r="136" customFormat="false" ht="15" hidden="false" customHeight="false" outlineLevel="0" collapsed="false">
      <c r="A136" s="11"/>
      <c r="B136" s="11"/>
      <c r="C136" s="11"/>
      <c r="D136" s="11"/>
      <c r="E136" s="11"/>
      <c r="F136" s="11"/>
      <c r="G136" s="11"/>
      <c r="H136" s="11"/>
      <c r="I136" s="11"/>
      <c r="J136" s="11"/>
      <c r="K136" s="11"/>
      <c r="L136" s="11"/>
      <c r="M136" s="11"/>
      <c r="N136" s="11" t="str">
        <f aca="false">IF(A136="","",IF(SUBSTITUTE(SUBSTITUTE(B136," ",""),"|","")=A136,"OK","Split letters don't match"))</f>
        <v/>
      </c>
      <c r="O136" s="12" t="str">
        <f aca="false">IF(A136="","",IF(AND(J136="Approved",K136&lt;&gt;"",L136&lt;&gt;"",N136="OK"),"Ready","Not yet"))</f>
        <v/>
      </c>
    </row>
    <row r="137" customFormat="false" ht="15" hidden="false" customHeight="false" outlineLevel="0" collapsed="false">
      <c r="A137" s="11"/>
      <c r="B137" s="11"/>
      <c r="C137" s="11"/>
      <c r="D137" s="11"/>
      <c r="E137" s="11"/>
      <c r="F137" s="11"/>
      <c r="G137" s="11"/>
      <c r="H137" s="11"/>
      <c r="I137" s="11"/>
      <c r="J137" s="11"/>
      <c r="K137" s="11"/>
      <c r="L137" s="11"/>
      <c r="M137" s="11"/>
      <c r="N137" s="11" t="str">
        <f aca="false">IF(A137="","",IF(SUBSTITUTE(SUBSTITUTE(B137," ",""),"|","")=A137,"OK","Split letters don't match"))</f>
        <v/>
      </c>
      <c r="O137" s="12" t="str">
        <f aca="false">IF(A137="","",IF(AND(J137="Approved",K137&lt;&gt;"",L137&lt;&gt;"",N137="OK"),"Ready","Not yet"))</f>
        <v/>
      </c>
    </row>
    <row r="138" customFormat="false" ht="15" hidden="false" customHeight="false" outlineLevel="0" collapsed="false">
      <c r="A138" s="11"/>
      <c r="B138" s="11"/>
      <c r="C138" s="11"/>
      <c r="D138" s="11"/>
      <c r="E138" s="11"/>
      <c r="F138" s="11"/>
      <c r="G138" s="11"/>
      <c r="H138" s="11"/>
      <c r="I138" s="11"/>
      <c r="J138" s="11"/>
      <c r="K138" s="11"/>
      <c r="L138" s="11"/>
      <c r="M138" s="11"/>
      <c r="N138" s="11" t="str">
        <f aca="false">IF(A138="","",IF(SUBSTITUTE(SUBSTITUTE(B138," ",""),"|","")=A138,"OK","Split letters don't match"))</f>
        <v/>
      </c>
      <c r="O138" s="12" t="str">
        <f aca="false">IF(A138="","",IF(AND(J138="Approved",K138&lt;&gt;"",L138&lt;&gt;"",N138="OK"),"Ready","Not yet"))</f>
        <v/>
      </c>
    </row>
    <row r="139" customFormat="false" ht="15" hidden="false" customHeight="false" outlineLevel="0" collapsed="false">
      <c r="A139" s="11"/>
      <c r="B139" s="11"/>
      <c r="C139" s="11"/>
      <c r="D139" s="11"/>
      <c r="E139" s="11"/>
      <c r="F139" s="11"/>
      <c r="G139" s="11"/>
      <c r="H139" s="11"/>
      <c r="I139" s="11"/>
      <c r="J139" s="11"/>
      <c r="K139" s="11"/>
      <c r="L139" s="11"/>
      <c r="M139" s="11"/>
      <c r="N139" s="11" t="str">
        <f aca="false">IF(A139="","",IF(SUBSTITUTE(SUBSTITUTE(B139," ",""),"|","")=A139,"OK","Split letters don't match"))</f>
        <v/>
      </c>
      <c r="O139" s="12" t="str">
        <f aca="false">IF(A139="","",IF(AND(J139="Approved",K139&lt;&gt;"",L139&lt;&gt;"",N139="OK"),"Ready","Not yet"))</f>
        <v/>
      </c>
    </row>
    <row r="140" customFormat="false" ht="15" hidden="false" customHeight="false" outlineLevel="0" collapsed="false">
      <c r="A140" s="11"/>
      <c r="B140" s="11"/>
      <c r="C140" s="11"/>
      <c r="D140" s="11"/>
      <c r="E140" s="11"/>
      <c r="F140" s="11"/>
      <c r="G140" s="11"/>
      <c r="H140" s="11"/>
      <c r="I140" s="11"/>
      <c r="J140" s="11"/>
      <c r="K140" s="11"/>
      <c r="L140" s="11"/>
      <c r="M140" s="11"/>
      <c r="N140" s="11" t="str">
        <f aca="false">IF(A140="","",IF(SUBSTITUTE(SUBSTITUTE(B140," ",""),"|","")=A140,"OK","Split letters don't match"))</f>
        <v/>
      </c>
      <c r="O140" s="12" t="str">
        <f aca="false">IF(A140="","",IF(AND(J140="Approved",K140&lt;&gt;"",L140&lt;&gt;"",N140="OK"),"Ready","Not yet"))</f>
        <v/>
      </c>
    </row>
    <row r="141" customFormat="false" ht="15" hidden="false" customHeight="false" outlineLevel="0" collapsed="false">
      <c r="A141" s="11"/>
      <c r="B141" s="11"/>
      <c r="C141" s="11"/>
      <c r="D141" s="11"/>
      <c r="E141" s="11"/>
      <c r="F141" s="11"/>
      <c r="G141" s="11"/>
      <c r="H141" s="11"/>
      <c r="I141" s="11"/>
      <c r="J141" s="11"/>
      <c r="K141" s="11"/>
      <c r="L141" s="11"/>
      <c r="M141" s="11"/>
      <c r="N141" s="11" t="str">
        <f aca="false">IF(A141="","",IF(SUBSTITUTE(SUBSTITUTE(B141," ",""),"|","")=A141,"OK","Split letters don't match"))</f>
        <v/>
      </c>
      <c r="O141" s="12" t="str">
        <f aca="false">IF(A141="","",IF(AND(J141="Approved",K141&lt;&gt;"",L141&lt;&gt;"",N141="OK"),"Ready","Not yet"))</f>
        <v/>
      </c>
    </row>
    <row r="142" customFormat="false" ht="15" hidden="false" customHeight="false" outlineLevel="0" collapsed="false">
      <c r="A142" s="11"/>
      <c r="B142" s="11"/>
      <c r="C142" s="11"/>
      <c r="D142" s="11"/>
      <c r="E142" s="11"/>
      <c r="F142" s="11"/>
      <c r="G142" s="11"/>
      <c r="H142" s="11"/>
      <c r="I142" s="11"/>
      <c r="J142" s="11"/>
      <c r="K142" s="11"/>
      <c r="L142" s="11"/>
      <c r="M142" s="11"/>
      <c r="N142" s="11" t="str">
        <f aca="false">IF(A142="","",IF(SUBSTITUTE(SUBSTITUTE(B142," ",""),"|","")=A142,"OK","Split letters don't match"))</f>
        <v/>
      </c>
      <c r="O142" s="12" t="str">
        <f aca="false">IF(A142="","",IF(AND(J142="Approved",K142&lt;&gt;"",L142&lt;&gt;"",N142="OK"),"Ready","Not yet"))</f>
        <v/>
      </c>
    </row>
    <row r="143" customFormat="false" ht="15" hidden="false" customHeight="false" outlineLevel="0" collapsed="false">
      <c r="A143" s="11"/>
      <c r="B143" s="11"/>
      <c r="C143" s="11"/>
      <c r="D143" s="11"/>
      <c r="E143" s="11"/>
      <c r="F143" s="11"/>
      <c r="G143" s="11"/>
      <c r="H143" s="11"/>
      <c r="I143" s="11"/>
      <c r="J143" s="11"/>
      <c r="K143" s="11"/>
      <c r="L143" s="11"/>
      <c r="M143" s="11"/>
      <c r="N143" s="11" t="str">
        <f aca="false">IF(A143="","",IF(SUBSTITUTE(SUBSTITUTE(B143," ",""),"|","")=A143,"OK","Split letters don't match"))</f>
        <v/>
      </c>
      <c r="O143" s="12" t="str">
        <f aca="false">IF(A143="","",IF(AND(J143="Approved",K143&lt;&gt;"",L143&lt;&gt;"",N143="OK"),"Ready","Not yet"))</f>
        <v/>
      </c>
    </row>
    <row r="144" customFormat="false" ht="15" hidden="false" customHeight="false" outlineLevel="0" collapsed="false">
      <c r="A144" s="11"/>
      <c r="B144" s="11"/>
      <c r="C144" s="11"/>
      <c r="D144" s="11"/>
      <c r="E144" s="11"/>
      <c r="F144" s="11"/>
      <c r="G144" s="11"/>
      <c r="H144" s="11"/>
      <c r="I144" s="11"/>
      <c r="J144" s="11"/>
      <c r="K144" s="11"/>
      <c r="L144" s="11"/>
      <c r="M144" s="11"/>
      <c r="N144" s="11" t="str">
        <f aca="false">IF(A144="","",IF(SUBSTITUTE(SUBSTITUTE(B144," ",""),"|","")=A144,"OK","Split letters don't match"))</f>
        <v/>
      </c>
      <c r="O144" s="12" t="str">
        <f aca="false">IF(A144="","",IF(AND(J144="Approved",K144&lt;&gt;"",L144&lt;&gt;"",N144="OK"),"Ready","Not yet"))</f>
        <v/>
      </c>
    </row>
    <row r="145" customFormat="false" ht="15" hidden="false" customHeight="false" outlineLevel="0" collapsed="false">
      <c r="A145" s="11"/>
      <c r="B145" s="11"/>
      <c r="C145" s="11"/>
      <c r="D145" s="11"/>
      <c r="E145" s="11"/>
      <c r="F145" s="11"/>
      <c r="G145" s="11"/>
      <c r="H145" s="11"/>
      <c r="I145" s="11"/>
      <c r="J145" s="11"/>
      <c r="K145" s="11"/>
      <c r="L145" s="11"/>
      <c r="M145" s="11"/>
      <c r="N145" s="11" t="str">
        <f aca="false">IF(A145="","",IF(SUBSTITUTE(SUBSTITUTE(B145," ",""),"|","")=A145,"OK","Split letters don't match"))</f>
        <v/>
      </c>
      <c r="O145" s="12" t="str">
        <f aca="false">IF(A145="","",IF(AND(J145="Approved",K145&lt;&gt;"",L145&lt;&gt;"",N145="OK"),"Ready","Not yet"))</f>
        <v/>
      </c>
    </row>
    <row r="146" customFormat="false" ht="15" hidden="false" customHeight="false" outlineLevel="0" collapsed="false">
      <c r="A146" s="11"/>
      <c r="B146" s="11"/>
      <c r="C146" s="11"/>
      <c r="D146" s="11"/>
      <c r="E146" s="11"/>
      <c r="F146" s="11"/>
      <c r="G146" s="11"/>
      <c r="H146" s="11"/>
      <c r="I146" s="11"/>
      <c r="J146" s="11"/>
      <c r="K146" s="11"/>
      <c r="L146" s="11"/>
      <c r="M146" s="11"/>
      <c r="N146" s="11" t="str">
        <f aca="false">IF(A146="","",IF(SUBSTITUTE(SUBSTITUTE(B146," ",""),"|","")=A146,"OK","Split letters don't match"))</f>
        <v/>
      </c>
      <c r="O146" s="12" t="str">
        <f aca="false">IF(A146="","",IF(AND(J146="Approved",K146&lt;&gt;"",L146&lt;&gt;"",N146="OK"),"Ready","Not yet"))</f>
        <v/>
      </c>
    </row>
    <row r="147" customFormat="false" ht="15" hidden="false" customHeight="false" outlineLevel="0" collapsed="false">
      <c r="A147" s="11"/>
      <c r="B147" s="11"/>
      <c r="C147" s="11"/>
      <c r="D147" s="11"/>
      <c r="E147" s="11"/>
      <c r="F147" s="11"/>
      <c r="G147" s="11"/>
      <c r="H147" s="11"/>
      <c r="I147" s="11"/>
      <c r="J147" s="11"/>
      <c r="K147" s="11"/>
      <c r="L147" s="11"/>
      <c r="M147" s="11"/>
      <c r="N147" s="11" t="str">
        <f aca="false">IF(A147="","",IF(SUBSTITUTE(SUBSTITUTE(B147," ",""),"|","")=A147,"OK","Split letters don't match"))</f>
        <v/>
      </c>
      <c r="O147" s="12" t="str">
        <f aca="false">IF(A147="","",IF(AND(J147="Approved",K147&lt;&gt;"",L147&lt;&gt;"",N147="OK"),"Ready","Not yet"))</f>
        <v/>
      </c>
    </row>
    <row r="148" customFormat="false" ht="15" hidden="false" customHeight="false" outlineLevel="0" collapsed="false">
      <c r="A148" s="11"/>
      <c r="B148" s="11"/>
      <c r="C148" s="11"/>
      <c r="D148" s="11"/>
      <c r="E148" s="11"/>
      <c r="F148" s="11"/>
      <c r="G148" s="11"/>
      <c r="H148" s="11"/>
      <c r="I148" s="11"/>
      <c r="J148" s="11"/>
      <c r="K148" s="11"/>
      <c r="L148" s="11"/>
      <c r="M148" s="11"/>
      <c r="N148" s="11" t="str">
        <f aca="false">IF(A148="","",IF(SUBSTITUTE(SUBSTITUTE(B148," ",""),"|","")=A148,"OK","Split letters don't match"))</f>
        <v/>
      </c>
      <c r="O148" s="12" t="str">
        <f aca="false">IF(A148="","",IF(AND(J148="Approved",K148&lt;&gt;"",L148&lt;&gt;"",N148="OK"),"Ready","Not yet"))</f>
        <v/>
      </c>
    </row>
    <row r="149" customFormat="false" ht="15" hidden="false" customHeight="false" outlineLevel="0" collapsed="false">
      <c r="A149" s="11"/>
      <c r="B149" s="11"/>
      <c r="C149" s="11"/>
      <c r="D149" s="11"/>
      <c r="E149" s="11"/>
      <c r="F149" s="11"/>
      <c r="G149" s="11"/>
      <c r="H149" s="11"/>
      <c r="I149" s="11"/>
      <c r="J149" s="11"/>
      <c r="K149" s="11"/>
      <c r="L149" s="11"/>
      <c r="M149" s="11"/>
      <c r="N149" s="11" t="str">
        <f aca="false">IF(A149="","",IF(SUBSTITUTE(SUBSTITUTE(B149," ",""),"|","")=A149,"OK","Split letters don't match"))</f>
        <v/>
      </c>
      <c r="O149" s="12" t="str">
        <f aca="false">IF(A149="","",IF(AND(J149="Approved",K149&lt;&gt;"",L149&lt;&gt;"",N149="OK"),"Ready","Not yet"))</f>
        <v/>
      </c>
    </row>
    <row r="150" customFormat="false" ht="15" hidden="false" customHeight="false" outlineLevel="0" collapsed="false">
      <c r="A150" s="11"/>
      <c r="B150" s="11"/>
      <c r="C150" s="11"/>
      <c r="D150" s="11"/>
      <c r="E150" s="11"/>
      <c r="F150" s="11"/>
      <c r="G150" s="11"/>
      <c r="H150" s="11"/>
      <c r="I150" s="11"/>
      <c r="J150" s="11"/>
      <c r="K150" s="11"/>
      <c r="L150" s="11"/>
      <c r="M150" s="11"/>
      <c r="N150" s="11" t="str">
        <f aca="false">IF(A150="","",IF(SUBSTITUTE(SUBSTITUTE(B150," ",""),"|","")=A150,"OK","Split letters don't match"))</f>
        <v/>
      </c>
      <c r="O150" s="12" t="str">
        <f aca="false">IF(A150="","",IF(AND(J150="Approved",K150&lt;&gt;"",L150&lt;&gt;"",N150="OK"),"Ready","Not yet"))</f>
        <v/>
      </c>
    </row>
    <row r="151" customFormat="false" ht="15" hidden="false" customHeight="false" outlineLevel="0" collapsed="false">
      <c r="A151" s="11"/>
      <c r="B151" s="11"/>
      <c r="C151" s="11"/>
      <c r="D151" s="11"/>
      <c r="E151" s="11"/>
      <c r="F151" s="11"/>
      <c r="G151" s="11"/>
      <c r="H151" s="11"/>
      <c r="I151" s="11"/>
      <c r="J151" s="11"/>
      <c r="K151" s="11"/>
      <c r="L151" s="11"/>
      <c r="M151" s="11"/>
      <c r="N151" s="11" t="str">
        <f aca="false">IF(A151="","",IF(SUBSTITUTE(SUBSTITUTE(B151," ",""),"|","")=A151,"OK","Split letters don't match"))</f>
        <v/>
      </c>
      <c r="O151" s="12" t="str">
        <f aca="false">IF(A151="","",IF(AND(J151="Approved",K151&lt;&gt;"",L151&lt;&gt;"",N151="OK"),"Ready","Not yet"))</f>
        <v/>
      </c>
    </row>
    <row r="152" customFormat="false" ht="15" hidden="false" customHeight="false" outlineLevel="0" collapsed="false">
      <c r="A152" s="11"/>
      <c r="B152" s="11"/>
      <c r="C152" s="11"/>
      <c r="D152" s="11"/>
      <c r="E152" s="11"/>
      <c r="F152" s="11"/>
      <c r="G152" s="11"/>
      <c r="H152" s="11"/>
      <c r="I152" s="11"/>
      <c r="J152" s="11"/>
      <c r="K152" s="11"/>
      <c r="L152" s="11"/>
      <c r="M152" s="11"/>
      <c r="N152" s="11" t="str">
        <f aca="false">IF(A152="","",IF(SUBSTITUTE(SUBSTITUTE(B152," ",""),"|","")=A152,"OK","Split letters don't match"))</f>
        <v/>
      </c>
      <c r="O152" s="12" t="str">
        <f aca="false">IF(A152="","",IF(AND(J152="Approved",K152&lt;&gt;"",L152&lt;&gt;"",N152="OK"),"Ready","Not yet"))</f>
        <v/>
      </c>
    </row>
    <row r="153" customFormat="false" ht="15" hidden="false" customHeight="false" outlineLevel="0" collapsed="false">
      <c r="A153" s="11"/>
      <c r="B153" s="11"/>
      <c r="C153" s="11"/>
      <c r="D153" s="11"/>
      <c r="E153" s="11"/>
      <c r="F153" s="11"/>
      <c r="G153" s="11"/>
      <c r="H153" s="11"/>
      <c r="I153" s="11"/>
      <c r="J153" s="11"/>
      <c r="K153" s="11"/>
      <c r="L153" s="11"/>
      <c r="M153" s="11"/>
      <c r="N153" s="11" t="str">
        <f aca="false">IF(A153="","",IF(SUBSTITUTE(SUBSTITUTE(B153," ",""),"|","")=A153,"OK","Split letters don't match"))</f>
        <v/>
      </c>
      <c r="O153" s="12" t="str">
        <f aca="false">IF(A153="","",IF(AND(J153="Approved",K153&lt;&gt;"",L153&lt;&gt;"",N153="OK"),"Ready","Not yet"))</f>
        <v/>
      </c>
    </row>
    <row r="154" customFormat="false" ht="15" hidden="false" customHeight="false" outlineLevel="0" collapsed="false">
      <c r="A154" s="11"/>
      <c r="B154" s="11"/>
      <c r="C154" s="11"/>
      <c r="D154" s="11"/>
      <c r="E154" s="11"/>
      <c r="F154" s="11"/>
      <c r="G154" s="11"/>
      <c r="H154" s="11"/>
      <c r="I154" s="11"/>
      <c r="J154" s="11"/>
      <c r="K154" s="11"/>
      <c r="L154" s="11"/>
      <c r="M154" s="11"/>
      <c r="N154" s="11" t="str">
        <f aca="false">IF(A154="","",IF(SUBSTITUTE(SUBSTITUTE(B154," ",""),"|","")=A154,"OK","Split letters don't match"))</f>
        <v/>
      </c>
      <c r="O154" s="12" t="str">
        <f aca="false">IF(A154="","",IF(AND(J154="Approved",K154&lt;&gt;"",L154&lt;&gt;"",N154="OK"),"Ready","Not yet"))</f>
        <v/>
      </c>
    </row>
    <row r="155" customFormat="false" ht="15" hidden="false" customHeight="false" outlineLevel="0" collapsed="false">
      <c r="A155" s="11"/>
      <c r="B155" s="11"/>
      <c r="C155" s="11"/>
      <c r="D155" s="11"/>
      <c r="E155" s="11"/>
      <c r="F155" s="11"/>
      <c r="G155" s="11"/>
      <c r="H155" s="11"/>
      <c r="I155" s="11"/>
      <c r="J155" s="11"/>
      <c r="K155" s="11"/>
      <c r="L155" s="11"/>
      <c r="M155" s="11"/>
      <c r="N155" s="11" t="str">
        <f aca="false">IF(A155="","",IF(SUBSTITUTE(SUBSTITUTE(B155," ",""),"|","")=A155,"OK","Split letters don't match"))</f>
        <v/>
      </c>
      <c r="O155" s="12" t="str">
        <f aca="false">IF(A155="","",IF(AND(J155="Approved",K155&lt;&gt;"",L155&lt;&gt;"",N155="OK"),"Ready","Not yet"))</f>
        <v/>
      </c>
    </row>
    <row r="156" customFormat="false" ht="15" hidden="false" customHeight="false" outlineLevel="0" collapsed="false">
      <c r="A156" s="11"/>
      <c r="B156" s="11"/>
      <c r="C156" s="11"/>
      <c r="D156" s="11"/>
      <c r="E156" s="11"/>
      <c r="F156" s="11"/>
      <c r="G156" s="11"/>
      <c r="H156" s="11"/>
      <c r="I156" s="11"/>
      <c r="J156" s="11"/>
      <c r="K156" s="11"/>
      <c r="L156" s="11"/>
      <c r="M156" s="11"/>
      <c r="N156" s="11" t="str">
        <f aca="false">IF(A156="","",IF(SUBSTITUTE(SUBSTITUTE(B156," ",""),"|","")=A156,"OK","Split letters don't match"))</f>
        <v/>
      </c>
      <c r="O156" s="12" t="str">
        <f aca="false">IF(A156="","",IF(AND(J156="Approved",K156&lt;&gt;"",L156&lt;&gt;"",N156="OK"),"Ready","Not yet"))</f>
        <v/>
      </c>
    </row>
    <row r="157" customFormat="false" ht="15" hidden="false" customHeight="false" outlineLevel="0" collapsed="false">
      <c r="A157" s="11"/>
      <c r="B157" s="11"/>
      <c r="C157" s="11"/>
      <c r="D157" s="11"/>
      <c r="E157" s="11"/>
      <c r="F157" s="11"/>
      <c r="G157" s="11"/>
      <c r="H157" s="11"/>
      <c r="I157" s="11"/>
      <c r="J157" s="11"/>
      <c r="K157" s="11"/>
      <c r="L157" s="11"/>
      <c r="M157" s="11"/>
      <c r="N157" s="11" t="str">
        <f aca="false">IF(A157="","",IF(SUBSTITUTE(SUBSTITUTE(B157," ",""),"|","")=A157,"OK","Split letters don't match"))</f>
        <v/>
      </c>
      <c r="O157" s="12" t="str">
        <f aca="false">IF(A157="","",IF(AND(J157="Approved",K157&lt;&gt;"",L157&lt;&gt;"",N157="OK"),"Ready","Not yet"))</f>
        <v/>
      </c>
    </row>
    <row r="158" customFormat="false" ht="15" hidden="false" customHeight="false" outlineLevel="0" collapsed="false">
      <c r="A158" s="11"/>
      <c r="B158" s="11"/>
      <c r="C158" s="11"/>
      <c r="D158" s="11"/>
      <c r="E158" s="11"/>
      <c r="F158" s="11"/>
      <c r="G158" s="11"/>
      <c r="H158" s="11"/>
      <c r="I158" s="11"/>
      <c r="J158" s="11"/>
      <c r="K158" s="11"/>
      <c r="L158" s="11"/>
      <c r="M158" s="11"/>
      <c r="N158" s="11" t="str">
        <f aca="false">IF(A158="","",IF(SUBSTITUTE(SUBSTITUTE(B158," ",""),"|","")=A158,"OK","Split letters don't match"))</f>
        <v/>
      </c>
      <c r="O158" s="12" t="str">
        <f aca="false">IF(A158="","",IF(AND(J158="Approved",K158&lt;&gt;"",L158&lt;&gt;"",N158="OK"),"Ready","Not yet"))</f>
        <v/>
      </c>
    </row>
    <row r="159" customFormat="false" ht="15" hidden="false" customHeight="false" outlineLevel="0" collapsed="false">
      <c r="A159" s="11"/>
      <c r="B159" s="11"/>
      <c r="C159" s="11"/>
      <c r="D159" s="11"/>
      <c r="E159" s="11"/>
      <c r="F159" s="11"/>
      <c r="G159" s="11"/>
      <c r="H159" s="11"/>
      <c r="I159" s="11"/>
      <c r="J159" s="11"/>
      <c r="K159" s="11"/>
      <c r="L159" s="11"/>
      <c r="M159" s="11"/>
      <c r="N159" s="11" t="str">
        <f aca="false">IF(A159="","",IF(SUBSTITUTE(SUBSTITUTE(B159," ",""),"|","")=A159,"OK","Split letters don't match"))</f>
        <v/>
      </c>
      <c r="O159" s="12" t="str">
        <f aca="false">IF(A159="","",IF(AND(J159="Approved",K159&lt;&gt;"",L159&lt;&gt;"",N159="OK"),"Ready","Not yet"))</f>
        <v/>
      </c>
    </row>
    <row r="160" customFormat="false" ht="15" hidden="false" customHeight="false" outlineLevel="0" collapsed="false">
      <c r="A160" s="11"/>
      <c r="B160" s="11"/>
      <c r="C160" s="11"/>
      <c r="D160" s="11"/>
      <c r="E160" s="11"/>
      <c r="F160" s="11"/>
      <c r="G160" s="11"/>
      <c r="H160" s="11"/>
      <c r="I160" s="11"/>
      <c r="J160" s="11"/>
      <c r="K160" s="11"/>
      <c r="L160" s="11"/>
      <c r="M160" s="11"/>
      <c r="N160" s="11" t="str">
        <f aca="false">IF(A160="","",IF(SUBSTITUTE(SUBSTITUTE(B160," ",""),"|","")=A160,"OK","Split letters don't match"))</f>
        <v/>
      </c>
      <c r="O160" s="12" t="str">
        <f aca="false">IF(A160="","",IF(AND(J160="Approved",K160&lt;&gt;"",L160&lt;&gt;"",N160="OK"),"Ready","Not yet"))</f>
        <v/>
      </c>
    </row>
    <row r="161" customFormat="false" ht="15" hidden="false" customHeight="false" outlineLevel="0" collapsed="false">
      <c r="A161" s="11"/>
      <c r="B161" s="11"/>
      <c r="C161" s="11"/>
      <c r="D161" s="11"/>
      <c r="E161" s="11"/>
      <c r="F161" s="11"/>
      <c r="G161" s="11"/>
      <c r="H161" s="11"/>
      <c r="I161" s="11"/>
      <c r="J161" s="11"/>
      <c r="K161" s="11"/>
      <c r="L161" s="11"/>
      <c r="M161" s="11"/>
      <c r="N161" s="11" t="str">
        <f aca="false">IF(A161="","",IF(SUBSTITUTE(SUBSTITUTE(B161," ",""),"|","")=A161,"OK","Split letters don't match"))</f>
        <v/>
      </c>
      <c r="O161" s="12" t="str">
        <f aca="false">IF(A161="","",IF(AND(J161="Approved",K161&lt;&gt;"",L161&lt;&gt;"",N161="OK"),"Ready","Not yet"))</f>
        <v/>
      </c>
    </row>
    <row r="162" customFormat="false" ht="15" hidden="false" customHeight="false" outlineLevel="0" collapsed="false">
      <c r="A162" s="11"/>
      <c r="B162" s="11"/>
      <c r="C162" s="11"/>
      <c r="D162" s="11"/>
      <c r="E162" s="11"/>
      <c r="F162" s="11"/>
      <c r="G162" s="11"/>
      <c r="H162" s="11"/>
      <c r="I162" s="11"/>
      <c r="J162" s="11"/>
      <c r="K162" s="11"/>
      <c r="L162" s="11"/>
      <c r="M162" s="11"/>
      <c r="N162" s="11" t="str">
        <f aca="false">IF(A162="","",IF(SUBSTITUTE(SUBSTITUTE(B162," ",""),"|","")=A162,"OK","Split letters don't match"))</f>
        <v/>
      </c>
      <c r="O162" s="12" t="str">
        <f aca="false">IF(A162="","",IF(AND(J162="Approved",K162&lt;&gt;"",L162&lt;&gt;"",N162="OK"),"Ready","Not yet"))</f>
        <v/>
      </c>
    </row>
    <row r="163" customFormat="false" ht="15" hidden="false" customHeight="false" outlineLevel="0" collapsed="false">
      <c r="A163" s="11"/>
      <c r="B163" s="11"/>
      <c r="C163" s="11"/>
      <c r="D163" s="11"/>
      <c r="E163" s="11"/>
      <c r="F163" s="11"/>
      <c r="G163" s="11"/>
      <c r="H163" s="11"/>
      <c r="I163" s="11"/>
      <c r="J163" s="11"/>
      <c r="K163" s="11"/>
      <c r="L163" s="11"/>
      <c r="M163" s="11"/>
      <c r="N163" s="11" t="str">
        <f aca="false">IF(A163="","",IF(SUBSTITUTE(SUBSTITUTE(B163," ",""),"|","")=A163,"OK","Split letters don't match"))</f>
        <v/>
      </c>
      <c r="O163" s="12" t="str">
        <f aca="false">IF(A163="","",IF(AND(J163="Approved",K163&lt;&gt;"",L163&lt;&gt;"",N163="OK"),"Ready","Not yet"))</f>
        <v/>
      </c>
    </row>
    <row r="164" customFormat="false" ht="15" hidden="false" customHeight="false" outlineLevel="0" collapsed="false">
      <c r="A164" s="11"/>
      <c r="B164" s="11"/>
      <c r="C164" s="11"/>
      <c r="D164" s="11"/>
      <c r="E164" s="11"/>
      <c r="F164" s="11"/>
      <c r="G164" s="11"/>
      <c r="H164" s="11"/>
      <c r="I164" s="11"/>
      <c r="J164" s="11"/>
      <c r="K164" s="11"/>
      <c r="L164" s="11"/>
      <c r="M164" s="11"/>
      <c r="N164" s="11" t="str">
        <f aca="false">IF(A164="","",IF(SUBSTITUTE(SUBSTITUTE(B164," ",""),"|","")=A164,"OK","Split letters don't match"))</f>
        <v/>
      </c>
      <c r="O164" s="12" t="str">
        <f aca="false">IF(A164="","",IF(AND(J164="Approved",K164&lt;&gt;"",L164&lt;&gt;"",N164="OK"),"Ready","Not yet"))</f>
        <v/>
      </c>
    </row>
    <row r="165" customFormat="false" ht="15" hidden="false" customHeight="false" outlineLevel="0" collapsed="false">
      <c r="A165" s="11"/>
      <c r="B165" s="11"/>
      <c r="C165" s="11"/>
      <c r="D165" s="11"/>
      <c r="E165" s="11"/>
      <c r="F165" s="11"/>
      <c r="G165" s="11"/>
      <c r="H165" s="11"/>
      <c r="I165" s="11"/>
      <c r="J165" s="11"/>
      <c r="K165" s="11"/>
      <c r="L165" s="11"/>
      <c r="M165" s="11"/>
      <c r="N165" s="11" t="str">
        <f aca="false">IF(A165="","",IF(SUBSTITUTE(SUBSTITUTE(B165," ",""),"|","")=A165,"OK","Split letters don't match"))</f>
        <v/>
      </c>
      <c r="O165" s="12" t="str">
        <f aca="false">IF(A165="","",IF(AND(J165="Approved",K165&lt;&gt;"",L165&lt;&gt;"",N165="OK"),"Ready","Not yet"))</f>
        <v/>
      </c>
    </row>
    <row r="166" customFormat="false" ht="15" hidden="false" customHeight="false" outlineLevel="0" collapsed="false">
      <c r="A166" s="11"/>
      <c r="B166" s="11"/>
      <c r="C166" s="11"/>
      <c r="D166" s="11"/>
      <c r="E166" s="11"/>
      <c r="F166" s="11"/>
      <c r="G166" s="11"/>
      <c r="H166" s="11"/>
      <c r="I166" s="11"/>
      <c r="J166" s="11"/>
      <c r="K166" s="11"/>
      <c r="L166" s="11"/>
      <c r="M166" s="11"/>
      <c r="N166" s="11" t="str">
        <f aca="false">IF(A166="","",IF(SUBSTITUTE(SUBSTITUTE(B166," ",""),"|","")=A166,"OK","Split letters don't match"))</f>
        <v/>
      </c>
      <c r="O166" s="12" t="str">
        <f aca="false">IF(A166="","",IF(AND(J166="Approved",K166&lt;&gt;"",L166&lt;&gt;"",N166="OK"),"Ready","Not yet"))</f>
        <v/>
      </c>
    </row>
    <row r="167" customFormat="false" ht="15" hidden="false" customHeight="false" outlineLevel="0" collapsed="false">
      <c r="A167" s="11"/>
      <c r="B167" s="11"/>
      <c r="C167" s="11"/>
      <c r="D167" s="11"/>
      <c r="E167" s="11"/>
      <c r="F167" s="11"/>
      <c r="G167" s="11"/>
      <c r="H167" s="11"/>
      <c r="I167" s="11"/>
      <c r="J167" s="11"/>
      <c r="K167" s="11"/>
      <c r="L167" s="11"/>
      <c r="M167" s="11"/>
      <c r="N167" s="11" t="str">
        <f aca="false">IF(A167="","",IF(SUBSTITUTE(SUBSTITUTE(B167," ",""),"|","")=A167,"OK","Split letters don't match"))</f>
        <v/>
      </c>
      <c r="O167" s="12" t="str">
        <f aca="false">IF(A167="","",IF(AND(J167="Approved",K167&lt;&gt;"",L167&lt;&gt;"",N167="OK"),"Ready","Not yet"))</f>
        <v/>
      </c>
    </row>
    <row r="168" customFormat="false" ht="15" hidden="false" customHeight="false" outlineLevel="0" collapsed="false">
      <c r="A168" s="11"/>
      <c r="B168" s="11"/>
      <c r="C168" s="11"/>
      <c r="D168" s="11"/>
      <c r="E168" s="11"/>
      <c r="F168" s="11"/>
      <c r="G168" s="11"/>
      <c r="H168" s="11"/>
      <c r="I168" s="11"/>
      <c r="J168" s="11"/>
      <c r="K168" s="11"/>
      <c r="L168" s="11"/>
      <c r="M168" s="11"/>
      <c r="N168" s="11" t="str">
        <f aca="false">IF(A168="","",IF(SUBSTITUTE(SUBSTITUTE(B168," ",""),"|","")=A168,"OK","Split letters don't match"))</f>
        <v/>
      </c>
      <c r="O168" s="12" t="str">
        <f aca="false">IF(A168="","",IF(AND(J168="Approved",K168&lt;&gt;"",L168&lt;&gt;"",N168="OK"),"Ready","Not yet"))</f>
        <v/>
      </c>
    </row>
    <row r="169" customFormat="false" ht="15" hidden="false" customHeight="false" outlineLevel="0" collapsed="false">
      <c r="A169" s="11"/>
      <c r="B169" s="11"/>
      <c r="C169" s="11"/>
      <c r="D169" s="11"/>
      <c r="E169" s="11"/>
      <c r="F169" s="11"/>
      <c r="G169" s="11"/>
      <c r="H169" s="11"/>
      <c r="I169" s="11"/>
      <c r="J169" s="11"/>
      <c r="K169" s="11"/>
      <c r="L169" s="11"/>
      <c r="M169" s="11"/>
      <c r="N169" s="11" t="str">
        <f aca="false">IF(A169="","",IF(SUBSTITUTE(SUBSTITUTE(B169," ",""),"|","")=A169,"OK","Split letters don't match"))</f>
        <v/>
      </c>
      <c r="O169" s="12" t="str">
        <f aca="false">IF(A169="","",IF(AND(J169="Approved",K169&lt;&gt;"",L169&lt;&gt;"",N169="OK"),"Ready","Not yet"))</f>
        <v/>
      </c>
    </row>
    <row r="170" customFormat="false" ht="15" hidden="false" customHeight="false" outlineLevel="0" collapsed="false">
      <c r="A170" s="11"/>
      <c r="B170" s="11"/>
      <c r="C170" s="11"/>
      <c r="D170" s="11"/>
      <c r="E170" s="11"/>
      <c r="F170" s="11"/>
      <c r="G170" s="11"/>
      <c r="H170" s="11"/>
      <c r="I170" s="11"/>
      <c r="J170" s="11"/>
      <c r="K170" s="11"/>
      <c r="L170" s="11"/>
      <c r="M170" s="11"/>
      <c r="N170" s="11" t="str">
        <f aca="false">IF(A170="","",IF(SUBSTITUTE(SUBSTITUTE(B170," ",""),"|","")=A170,"OK","Split letters don't match"))</f>
        <v/>
      </c>
      <c r="O170" s="12" t="str">
        <f aca="false">IF(A170="","",IF(AND(J170="Approved",K170&lt;&gt;"",L170&lt;&gt;"",N170="OK"),"Ready","Not yet"))</f>
        <v/>
      </c>
    </row>
    <row r="171" customFormat="false" ht="15" hidden="false" customHeight="false" outlineLevel="0" collapsed="false">
      <c r="A171" s="11"/>
      <c r="B171" s="11"/>
      <c r="C171" s="11"/>
      <c r="D171" s="11"/>
      <c r="E171" s="11"/>
      <c r="F171" s="11"/>
      <c r="G171" s="11"/>
      <c r="H171" s="11"/>
      <c r="I171" s="11"/>
      <c r="J171" s="11"/>
      <c r="K171" s="11"/>
      <c r="L171" s="11"/>
      <c r="M171" s="11"/>
      <c r="N171" s="11" t="str">
        <f aca="false">IF(A171="","",IF(SUBSTITUTE(SUBSTITUTE(B171," ",""),"|","")=A171,"OK","Split letters don't match"))</f>
        <v/>
      </c>
      <c r="O171" s="12" t="str">
        <f aca="false">IF(A171="","",IF(AND(J171="Approved",K171&lt;&gt;"",L171&lt;&gt;"",N171="OK"),"Ready","Not yet"))</f>
        <v/>
      </c>
    </row>
    <row r="172" customFormat="false" ht="15" hidden="false" customHeight="false" outlineLevel="0" collapsed="false">
      <c r="A172" s="11"/>
      <c r="B172" s="11"/>
      <c r="C172" s="11"/>
      <c r="D172" s="11"/>
      <c r="E172" s="11"/>
      <c r="F172" s="11"/>
      <c r="G172" s="11"/>
      <c r="H172" s="11"/>
      <c r="I172" s="11"/>
      <c r="J172" s="11"/>
      <c r="K172" s="11"/>
      <c r="L172" s="11"/>
      <c r="M172" s="11"/>
      <c r="N172" s="11" t="str">
        <f aca="false">IF(A172="","",IF(SUBSTITUTE(SUBSTITUTE(B172," ",""),"|","")=A172,"OK","Split letters don't match"))</f>
        <v/>
      </c>
      <c r="O172" s="12" t="str">
        <f aca="false">IF(A172="","",IF(AND(J172="Approved",K172&lt;&gt;"",L172&lt;&gt;"",N172="OK"),"Ready","Not yet"))</f>
        <v/>
      </c>
    </row>
    <row r="173" customFormat="false" ht="15" hidden="false" customHeight="false" outlineLevel="0" collapsed="false">
      <c r="A173" s="11"/>
      <c r="B173" s="11"/>
      <c r="C173" s="11"/>
      <c r="D173" s="11"/>
      <c r="E173" s="11"/>
      <c r="F173" s="11"/>
      <c r="G173" s="11"/>
      <c r="H173" s="11"/>
      <c r="I173" s="11"/>
      <c r="J173" s="11"/>
      <c r="K173" s="11"/>
      <c r="L173" s="11"/>
      <c r="M173" s="11"/>
      <c r="N173" s="11" t="str">
        <f aca="false">IF(A173="","",IF(SUBSTITUTE(SUBSTITUTE(B173," ",""),"|","")=A173,"OK","Split letters don't match"))</f>
        <v/>
      </c>
      <c r="O173" s="12" t="str">
        <f aca="false">IF(A173="","",IF(AND(J173="Approved",K173&lt;&gt;"",L173&lt;&gt;"",N173="OK"),"Ready","Not yet"))</f>
        <v/>
      </c>
    </row>
    <row r="174" customFormat="false" ht="15" hidden="false" customHeight="false" outlineLevel="0" collapsed="false">
      <c r="A174" s="11"/>
      <c r="B174" s="11"/>
      <c r="C174" s="11"/>
      <c r="D174" s="11"/>
      <c r="E174" s="11"/>
      <c r="F174" s="11"/>
      <c r="G174" s="11"/>
      <c r="H174" s="11"/>
      <c r="I174" s="11"/>
      <c r="J174" s="11"/>
      <c r="K174" s="11"/>
      <c r="L174" s="11"/>
      <c r="M174" s="11"/>
      <c r="N174" s="11" t="str">
        <f aca="false">IF(A174="","",IF(SUBSTITUTE(SUBSTITUTE(B174," ",""),"|","")=A174,"OK","Split letters don't match"))</f>
        <v/>
      </c>
      <c r="O174" s="12" t="str">
        <f aca="false">IF(A174="","",IF(AND(J174="Approved",K174&lt;&gt;"",L174&lt;&gt;"",N174="OK"),"Ready","Not yet"))</f>
        <v/>
      </c>
    </row>
    <row r="175" customFormat="false" ht="15" hidden="false" customHeight="false" outlineLevel="0" collapsed="false">
      <c r="A175" s="11"/>
      <c r="B175" s="11"/>
      <c r="C175" s="11"/>
      <c r="D175" s="11"/>
      <c r="E175" s="11"/>
      <c r="F175" s="11"/>
      <c r="G175" s="11"/>
      <c r="H175" s="11"/>
      <c r="I175" s="11"/>
      <c r="J175" s="11"/>
      <c r="K175" s="11"/>
      <c r="L175" s="11"/>
      <c r="M175" s="11"/>
      <c r="N175" s="11" t="str">
        <f aca="false">IF(A175="","",IF(SUBSTITUTE(SUBSTITUTE(B175," ",""),"|","")=A175,"OK","Split letters don't match"))</f>
        <v/>
      </c>
      <c r="O175" s="12" t="str">
        <f aca="false">IF(A175="","",IF(AND(J175="Approved",K175&lt;&gt;"",L175&lt;&gt;"",N175="OK"),"Ready","Not yet"))</f>
        <v/>
      </c>
    </row>
    <row r="176" customFormat="false" ht="15" hidden="false" customHeight="false" outlineLevel="0" collapsed="false">
      <c r="A176" s="11"/>
      <c r="B176" s="11"/>
      <c r="C176" s="11"/>
      <c r="D176" s="11"/>
      <c r="E176" s="11"/>
      <c r="F176" s="11"/>
      <c r="G176" s="11"/>
      <c r="H176" s="11"/>
      <c r="I176" s="11"/>
      <c r="J176" s="11"/>
      <c r="K176" s="11"/>
      <c r="L176" s="11"/>
      <c r="M176" s="11"/>
      <c r="N176" s="11" t="str">
        <f aca="false">IF(A176="","",IF(SUBSTITUTE(SUBSTITUTE(B176," ",""),"|","")=A176,"OK","Split letters don't match"))</f>
        <v/>
      </c>
      <c r="O176" s="12" t="str">
        <f aca="false">IF(A176="","",IF(AND(J176="Approved",K176&lt;&gt;"",L176&lt;&gt;"",N176="OK"),"Ready","Not yet"))</f>
        <v/>
      </c>
    </row>
    <row r="177" customFormat="false" ht="15" hidden="false" customHeight="false" outlineLevel="0" collapsed="false">
      <c r="A177" s="11"/>
      <c r="B177" s="11"/>
      <c r="C177" s="11"/>
      <c r="D177" s="11"/>
      <c r="E177" s="11"/>
      <c r="F177" s="11"/>
      <c r="G177" s="11"/>
      <c r="H177" s="11"/>
      <c r="I177" s="11"/>
      <c r="J177" s="11"/>
      <c r="K177" s="11"/>
      <c r="L177" s="11"/>
      <c r="M177" s="11"/>
      <c r="N177" s="11" t="str">
        <f aca="false">IF(A177="","",IF(SUBSTITUTE(SUBSTITUTE(B177," ",""),"|","")=A177,"OK","Split letters don't match"))</f>
        <v/>
      </c>
      <c r="O177" s="12" t="str">
        <f aca="false">IF(A177="","",IF(AND(J177="Approved",K177&lt;&gt;"",L177&lt;&gt;"",N177="OK"),"Ready","Not yet"))</f>
        <v/>
      </c>
    </row>
    <row r="178" customFormat="false" ht="15" hidden="false" customHeight="false" outlineLevel="0" collapsed="false">
      <c r="A178" s="11"/>
      <c r="B178" s="11"/>
      <c r="C178" s="11"/>
      <c r="D178" s="11"/>
      <c r="E178" s="11"/>
      <c r="F178" s="11"/>
      <c r="G178" s="11"/>
      <c r="H178" s="11"/>
      <c r="I178" s="11"/>
      <c r="J178" s="11"/>
      <c r="K178" s="11"/>
      <c r="L178" s="11"/>
      <c r="M178" s="11"/>
      <c r="N178" s="11" t="str">
        <f aca="false">IF(A178="","",IF(SUBSTITUTE(SUBSTITUTE(B178," ",""),"|","")=A178,"OK","Split letters don't match"))</f>
        <v/>
      </c>
      <c r="O178" s="12" t="str">
        <f aca="false">IF(A178="","",IF(AND(J178="Approved",K178&lt;&gt;"",L178&lt;&gt;"",N178="OK"),"Ready","Not yet"))</f>
        <v/>
      </c>
    </row>
    <row r="179" customFormat="false" ht="15" hidden="false" customHeight="false" outlineLevel="0" collapsed="false">
      <c r="A179" s="11"/>
      <c r="B179" s="11"/>
      <c r="C179" s="11"/>
      <c r="D179" s="11"/>
      <c r="E179" s="11"/>
      <c r="F179" s="11"/>
      <c r="G179" s="11"/>
      <c r="H179" s="11"/>
      <c r="I179" s="11"/>
      <c r="J179" s="11"/>
      <c r="K179" s="11"/>
      <c r="L179" s="11"/>
      <c r="M179" s="11"/>
      <c r="N179" s="11" t="str">
        <f aca="false">IF(A179="","",IF(SUBSTITUTE(SUBSTITUTE(B179," ",""),"|","")=A179,"OK","Split letters don't match"))</f>
        <v/>
      </c>
      <c r="O179" s="12" t="str">
        <f aca="false">IF(A179="","",IF(AND(J179="Approved",K179&lt;&gt;"",L179&lt;&gt;"",N179="OK"),"Ready","Not yet"))</f>
        <v/>
      </c>
    </row>
    <row r="180" customFormat="false" ht="15" hidden="false" customHeight="false" outlineLevel="0" collapsed="false">
      <c r="A180" s="11"/>
      <c r="B180" s="11"/>
      <c r="C180" s="11"/>
      <c r="D180" s="11"/>
      <c r="E180" s="11"/>
      <c r="F180" s="11"/>
      <c r="G180" s="11"/>
      <c r="H180" s="11"/>
      <c r="I180" s="11"/>
      <c r="J180" s="11"/>
      <c r="K180" s="11"/>
      <c r="L180" s="11"/>
      <c r="M180" s="11"/>
      <c r="N180" s="11" t="str">
        <f aca="false">IF(A180="","",IF(SUBSTITUTE(SUBSTITUTE(B180," ",""),"|","")=A180,"OK","Split letters don't match"))</f>
        <v/>
      </c>
      <c r="O180" s="12" t="str">
        <f aca="false">IF(A180="","",IF(AND(J180="Approved",K180&lt;&gt;"",L180&lt;&gt;"",N180="OK"),"Ready","Not yet"))</f>
        <v/>
      </c>
    </row>
    <row r="181" customFormat="false" ht="15" hidden="false" customHeight="false" outlineLevel="0" collapsed="false">
      <c r="A181" s="11"/>
      <c r="B181" s="11"/>
      <c r="C181" s="11"/>
      <c r="D181" s="11"/>
      <c r="E181" s="11"/>
      <c r="F181" s="11"/>
      <c r="G181" s="11"/>
      <c r="H181" s="11"/>
      <c r="I181" s="11"/>
      <c r="J181" s="11"/>
      <c r="K181" s="11"/>
      <c r="L181" s="11"/>
      <c r="M181" s="11"/>
      <c r="N181" s="11" t="str">
        <f aca="false">IF(A181="","",IF(SUBSTITUTE(SUBSTITUTE(B181," ",""),"|","")=A181,"OK","Split letters don't match"))</f>
        <v/>
      </c>
      <c r="O181" s="12" t="str">
        <f aca="false">IF(A181="","",IF(AND(J181="Approved",K181&lt;&gt;"",L181&lt;&gt;"",N181="OK"),"Ready","Not yet"))</f>
        <v/>
      </c>
    </row>
    <row r="182" customFormat="false" ht="15" hidden="false" customHeight="false" outlineLevel="0" collapsed="false">
      <c r="A182" s="11"/>
      <c r="B182" s="11"/>
      <c r="C182" s="11"/>
      <c r="D182" s="11"/>
      <c r="E182" s="11"/>
      <c r="F182" s="11"/>
      <c r="G182" s="11"/>
      <c r="H182" s="11"/>
      <c r="I182" s="11"/>
      <c r="J182" s="11"/>
      <c r="K182" s="11"/>
      <c r="L182" s="11"/>
      <c r="M182" s="11"/>
      <c r="N182" s="11" t="str">
        <f aca="false">IF(A182="","",IF(SUBSTITUTE(SUBSTITUTE(B182," ",""),"|","")=A182,"OK","Split letters don't match"))</f>
        <v/>
      </c>
      <c r="O182" s="12" t="str">
        <f aca="false">IF(A182="","",IF(AND(J182="Approved",K182&lt;&gt;"",L182&lt;&gt;"",N182="OK"),"Ready","Not yet"))</f>
        <v/>
      </c>
    </row>
    <row r="183" customFormat="false" ht="15" hidden="false" customHeight="false" outlineLevel="0" collapsed="false">
      <c r="A183" s="11"/>
      <c r="B183" s="11"/>
      <c r="C183" s="11"/>
      <c r="D183" s="11"/>
      <c r="E183" s="11"/>
      <c r="F183" s="11"/>
      <c r="G183" s="11"/>
      <c r="H183" s="11"/>
      <c r="I183" s="11"/>
      <c r="J183" s="11"/>
      <c r="K183" s="11"/>
      <c r="L183" s="11"/>
      <c r="M183" s="11"/>
      <c r="N183" s="11" t="str">
        <f aca="false">IF(A183="","",IF(SUBSTITUTE(SUBSTITUTE(B183," ",""),"|","")=A183,"OK","Split letters don't match"))</f>
        <v/>
      </c>
      <c r="O183" s="12" t="str">
        <f aca="false">IF(A183="","",IF(AND(J183="Approved",K183&lt;&gt;"",L183&lt;&gt;"",N183="OK"),"Ready","Not yet"))</f>
        <v/>
      </c>
    </row>
    <row r="184" customFormat="false" ht="15" hidden="false" customHeight="false" outlineLevel="0" collapsed="false">
      <c r="A184" s="11"/>
      <c r="B184" s="11"/>
      <c r="C184" s="11"/>
      <c r="D184" s="11"/>
      <c r="E184" s="11"/>
      <c r="F184" s="11"/>
      <c r="G184" s="11"/>
      <c r="H184" s="11"/>
      <c r="I184" s="11"/>
      <c r="J184" s="11"/>
      <c r="K184" s="11"/>
      <c r="L184" s="11"/>
      <c r="M184" s="11"/>
      <c r="N184" s="11" t="str">
        <f aca="false">IF(A184="","",IF(SUBSTITUTE(SUBSTITUTE(B184," ",""),"|","")=A184,"OK","Split letters don't match"))</f>
        <v/>
      </c>
      <c r="O184" s="12" t="str">
        <f aca="false">IF(A184="","",IF(AND(J184="Approved",K184&lt;&gt;"",L184&lt;&gt;"",N184="OK"),"Ready","Not yet"))</f>
        <v/>
      </c>
    </row>
    <row r="185" customFormat="false" ht="15" hidden="false" customHeight="false" outlineLevel="0" collapsed="false">
      <c r="A185" s="11"/>
      <c r="B185" s="11"/>
      <c r="C185" s="11"/>
      <c r="D185" s="11"/>
      <c r="E185" s="11"/>
      <c r="F185" s="11"/>
      <c r="G185" s="11"/>
      <c r="H185" s="11"/>
      <c r="I185" s="11"/>
      <c r="J185" s="11"/>
      <c r="K185" s="11"/>
      <c r="L185" s="11"/>
      <c r="M185" s="11"/>
      <c r="N185" s="11" t="str">
        <f aca="false">IF(A185="","",IF(SUBSTITUTE(SUBSTITUTE(B185," ",""),"|","")=A185,"OK","Split letters don't match"))</f>
        <v/>
      </c>
      <c r="O185" s="12" t="str">
        <f aca="false">IF(A185="","",IF(AND(J185="Approved",K185&lt;&gt;"",L185&lt;&gt;"",N185="OK"),"Ready","Not yet"))</f>
        <v/>
      </c>
    </row>
    <row r="186" customFormat="false" ht="15" hidden="false" customHeight="false" outlineLevel="0" collapsed="false">
      <c r="A186" s="11"/>
      <c r="B186" s="11"/>
      <c r="C186" s="11"/>
      <c r="D186" s="11"/>
      <c r="E186" s="11"/>
      <c r="F186" s="11"/>
      <c r="G186" s="11"/>
      <c r="H186" s="11"/>
      <c r="I186" s="11"/>
      <c r="J186" s="11"/>
      <c r="K186" s="11"/>
      <c r="L186" s="11"/>
      <c r="M186" s="11"/>
      <c r="N186" s="11" t="str">
        <f aca="false">IF(A186="","",IF(SUBSTITUTE(SUBSTITUTE(B186," ",""),"|","")=A186,"OK","Split letters don't match"))</f>
        <v/>
      </c>
      <c r="O186" s="12" t="str">
        <f aca="false">IF(A186="","",IF(AND(J186="Approved",K186&lt;&gt;"",L186&lt;&gt;"",N186="OK"),"Ready","Not yet"))</f>
        <v/>
      </c>
    </row>
    <row r="187" customFormat="false" ht="15" hidden="false" customHeight="false" outlineLevel="0" collapsed="false">
      <c r="A187" s="11"/>
      <c r="B187" s="11"/>
      <c r="C187" s="11"/>
      <c r="D187" s="11"/>
      <c r="E187" s="11"/>
      <c r="F187" s="11"/>
      <c r="G187" s="11"/>
      <c r="H187" s="11"/>
      <c r="I187" s="11"/>
      <c r="J187" s="11"/>
      <c r="K187" s="11"/>
      <c r="L187" s="11"/>
      <c r="M187" s="11"/>
      <c r="N187" s="11" t="str">
        <f aca="false">IF(A187="","",IF(SUBSTITUTE(SUBSTITUTE(B187," ",""),"|","")=A187,"OK","Split letters don't match"))</f>
        <v/>
      </c>
      <c r="O187" s="12" t="str">
        <f aca="false">IF(A187="","",IF(AND(J187="Approved",K187&lt;&gt;"",L187&lt;&gt;"",N187="OK"),"Ready","Not yet"))</f>
        <v/>
      </c>
    </row>
    <row r="188" customFormat="false" ht="15" hidden="false" customHeight="false" outlineLevel="0" collapsed="false">
      <c r="A188" s="11"/>
      <c r="B188" s="11"/>
      <c r="C188" s="11"/>
      <c r="D188" s="11"/>
      <c r="E188" s="11"/>
      <c r="F188" s="11"/>
      <c r="G188" s="11"/>
      <c r="H188" s="11"/>
      <c r="I188" s="11"/>
      <c r="J188" s="11"/>
      <c r="K188" s="11"/>
      <c r="L188" s="11"/>
      <c r="M188" s="11"/>
      <c r="N188" s="11" t="str">
        <f aca="false">IF(A188="","",IF(SUBSTITUTE(SUBSTITUTE(B188," ",""),"|","")=A188,"OK","Split letters don't match"))</f>
        <v/>
      </c>
      <c r="O188" s="12" t="str">
        <f aca="false">IF(A188="","",IF(AND(J188="Approved",K188&lt;&gt;"",L188&lt;&gt;"",N188="OK"),"Ready","Not yet"))</f>
        <v/>
      </c>
    </row>
    <row r="189" customFormat="false" ht="15" hidden="false" customHeight="false" outlineLevel="0" collapsed="false">
      <c r="A189" s="11"/>
      <c r="B189" s="11"/>
      <c r="C189" s="11"/>
      <c r="D189" s="11"/>
      <c r="E189" s="11"/>
      <c r="F189" s="11"/>
      <c r="G189" s="11"/>
      <c r="H189" s="11"/>
      <c r="I189" s="11"/>
      <c r="J189" s="11"/>
      <c r="K189" s="11"/>
      <c r="L189" s="11"/>
      <c r="M189" s="11"/>
      <c r="N189" s="11" t="str">
        <f aca="false">IF(A189="","",IF(SUBSTITUTE(SUBSTITUTE(B189," ",""),"|","")=A189,"OK","Split letters don't match"))</f>
        <v/>
      </c>
      <c r="O189" s="12" t="str">
        <f aca="false">IF(A189="","",IF(AND(J189="Approved",K189&lt;&gt;"",L189&lt;&gt;"",N189="OK"),"Ready","Not yet"))</f>
        <v/>
      </c>
    </row>
    <row r="190" customFormat="false" ht="15" hidden="false" customHeight="false" outlineLevel="0" collapsed="false">
      <c r="A190" s="11"/>
      <c r="B190" s="11"/>
      <c r="C190" s="11"/>
      <c r="D190" s="11"/>
      <c r="E190" s="11"/>
      <c r="F190" s="11"/>
      <c r="G190" s="11"/>
      <c r="H190" s="11"/>
      <c r="I190" s="11"/>
      <c r="J190" s="11"/>
      <c r="K190" s="11"/>
      <c r="L190" s="11"/>
      <c r="M190" s="11"/>
      <c r="N190" s="11" t="str">
        <f aca="false">IF(A190="","",IF(SUBSTITUTE(SUBSTITUTE(B190," ",""),"|","")=A190,"OK","Split letters don't match"))</f>
        <v/>
      </c>
      <c r="O190" s="12" t="str">
        <f aca="false">IF(A190="","",IF(AND(J190="Approved",K190&lt;&gt;"",L190&lt;&gt;"",N190="OK"),"Ready","Not yet"))</f>
        <v/>
      </c>
    </row>
    <row r="191" customFormat="false" ht="15" hidden="false" customHeight="false" outlineLevel="0" collapsed="false">
      <c r="A191" s="11"/>
      <c r="B191" s="11"/>
      <c r="C191" s="11"/>
      <c r="D191" s="11"/>
      <c r="E191" s="11"/>
      <c r="F191" s="11"/>
      <c r="G191" s="11"/>
      <c r="H191" s="11"/>
      <c r="I191" s="11"/>
      <c r="J191" s="11"/>
      <c r="K191" s="11"/>
      <c r="L191" s="11"/>
      <c r="M191" s="11"/>
      <c r="N191" s="11" t="str">
        <f aca="false">IF(A191="","",IF(SUBSTITUTE(SUBSTITUTE(B191," ",""),"|","")=A191,"OK","Split letters don't match"))</f>
        <v/>
      </c>
      <c r="O191" s="12" t="str">
        <f aca="false">IF(A191="","",IF(AND(J191="Approved",K191&lt;&gt;"",L191&lt;&gt;"",N191="OK"),"Ready","Not yet"))</f>
        <v/>
      </c>
    </row>
    <row r="192" customFormat="false" ht="15" hidden="false" customHeight="false" outlineLevel="0" collapsed="false">
      <c r="A192" s="11"/>
      <c r="B192" s="11"/>
      <c r="C192" s="11"/>
      <c r="D192" s="11"/>
      <c r="E192" s="11"/>
      <c r="F192" s="11"/>
      <c r="G192" s="11"/>
      <c r="H192" s="11"/>
      <c r="I192" s="11"/>
      <c r="J192" s="11"/>
      <c r="K192" s="11"/>
      <c r="L192" s="11"/>
      <c r="M192" s="11"/>
      <c r="N192" s="11" t="str">
        <f aca="false">IF(A192="","",IF(SUBSTITUTE(SUBSTITUTE(B192," ",""),"|","")=A192,"OK","Split letters don't match"))</f>
        <v/>
      </c>
      <c r="O192" s="12" t="str">
        <f aca="false">IF(A192="","",IF(AND(J192="Approved",K192&lt;&gt;"",L192&lt;&gt;"",N192="OK"),"Ready","Not yet"))</f>
        <v/>
      </c>
    </row>
    <row r="193" customFormat="false" ht="15" hidden="false" customHeight="false" outlineLevel="0" collapsed="false">
      <c r="A193" s="11"/>
      <c r="B193" s="11"/>
      <c r="C193" s="11"/>
      <c r="D193" s="11"/>
      <c r="E193" s="11"/>
      <c r="F193" s="11"/>
      <c r="G193" s="11"/>
      <c r="H193" s="11"/>
      <c r="I193" s="11"/>
      <c r="J193" s="11"/>
      <c r="K193" s="11"/>
      <c r="L193" s="11"/>
      <c r="M193" s="11"/>
      <c r="N193" s="11" t="str">
        <f aca="false">IF(A193="","",IF(SUBSTITUTE(SUBSTITUTE(B193," ",""),"|","")=A193,"OK","Split letters don't match"))</f>
        <v/>
      </c>
      <c r="O193" s="12" t="str">
        <f aca="false">IF(A193="","",IF(AND(J193="Approved",K193&lt;&gt;"",L193&lt;&gt;"",N193="OK"),"Ready","Not yet"))</f>
        <v/>
      </c>
    </row>
    <row r="194" customFormat="false" ht="15" hidden="false" customHeight="false" outlineLevel="0" collapsed="false">
      <c r="A194" s="11"/>
      <c r="B194" s="11"/>
      <c r="C194" s="11"/>
      <c r="D194" s="11"/>
      <c r="E194" s="11"/>
      <c r="F194" s="11"/>
      <c r="G194" s="11"/>
      <c r="H194" s="11"/>
      <c r="I194" s="11"/>
      <c r="J194" s="11"/>
      <c r="K194" s="11"/>
      <c r="L194" s="11"/>
      <c r="M194" s="11"/>
      <c r="N194" s="11" t="str">
        <f aca="false">IF(A194="","",IF(SUBSTITUTE(SUBSTITUTE(B194," ",""),"|","")=A194,"OK","Split letters don't match"))</f>
        <v/>
      </c>
      <c r="O194" s="12" t="str">
        <f aca="false">IF(A194="","",IF(AND(J194="Approved",K194&lt;&gt;"",L194&lt;&gt;"",N194="OK"),"Ready","Not yet"))</f>
        <v/>
      </c>
    </row>
    <row r="195" customFormat="false" ht="15" hidden="false" customHeight="false" outlineLevel="0" collapsed="false">
      <c r="A195" s="11"/>
      <c r="B195" s="11"/>
      <c r="C195" s="11"/>
      <c r="D195" s="11"/>
      <c r="E195" s="11"/>
      <c r="F195" s="11"/>
      <c r="G195" s="11"/>
      <c r="H195" s="11"/>
      <c r="I195" s="11"/>
      <c r="J195" s="11"/>
      <c r="K195" s="11"/>
      <c r="L195" s="11"/>
      <c r="M195" s="11"/>
      <c r="N195" s="11" t="str">
        <f aca="false">IF(A195="","",IF(SUBSTITUTE(SUBSTITUTE(B195," ",""),"|","")=A195,"OK","Split letters don't match"))</f>
        <v/>
      </c>
      <c r="O195" s="12" t="str">
        <f aca="false">IF(A195="","",IF(AND(J195="Approved",K195&lt;&gt;"",L195&lt;&gt;"",N195="OK"),"Ready","Not yet"))</f>
        <v/>
      </c>
    </row>
    <row r="196" customFormat="false" ht="15" hidden="false" customHeight="false" outlineLevel="0" collapsed="false">
      <c r="A196" s="11"/>
      <c r="B196" s="11"/>
      <c r="C196" s="11"/>
      <c r="D196" s="11"/>
      <c r="E196" s="11"/>
      <c r="F196" s="11"/>
      <c r="G196" s="11"/>
      <c r="H196" s="11"/>
      <c r="I196" s="11"/>
      <c r="J196" s="11"/>
      <c r="K196" s="11"/>
      <c r="L196" s="11"/>
      <c r="M196" s="11"/>
      <c r="N196" s="11" t="str">
        <f aca="false">IF(A196="","",IF(SUBSTITUTE(SUBSTITUTE(B196," ",""),"|","")=A196,"OK","Split letters don't match"))</f>
        <v/>
      </c>
      <c r="O196" s="12" t="str">
        <f aca="false">IF(A196="","",IF(AND(J196="Approved",K196&lt;&gt;"",L196&lt;&gt;"",N196="OK"),"Ready","Not yet"))</f>
        <v/>
      </c>
    </row>
    <row r="197" customFormat="false" ht="15" hidden="false" customHeight="false" outlineLevel="0" collapsed="false">
      <c r="A197" s="11"/>
      <c r="B197" s="11"/>
      <c r="C197" s="11"/>
      <c r="D197" s="11"/>
      <c r="E197" s="11"/>
      <c r="F197" s="11"/>
      <c r="G197" s="11"/>
      <c r="H197" s="11"/>
      <c r="I197" s="11"/>
      <c r="J197" s="11"/>
      <c r="K197" s="11"/>
      <c r="L197" s="11"/>
      <c r="M197" s="11"/>
      <c r="N197" s="11" t="str">
        <f aca="false">IF(A197="","",IF(SUBSTITUTE(SUBSTITUTE(B197," ",""),"|","")=A197,"OK","Split letters don't match"))</f>
        <v/>
      </c>
      <c r="O197" s="12" t="str">
        <f aca="false">IF(A197="","",IF(AND(J197="Approved",K197&lt;&gt;"",L197&lt;&gt;"",N197="OK"),"Ready","Not yet"))</f>
        <v/>
      </c>
    </row>
    <row r="198" customFormat="false" ht="15" hidden="false" customHeight="false" outlineLevel="0" collapsed="false">
      <c r="A198" s="11"/>
      <c r="B198" s="11"/>
      <c r="C198" s="11"/>
      <c r="D198" s="11"/>
      <c r="E198" s="11"/>
      <c r="F198" s="11"/>
      <c r="G198" s="11"/>
      <c r="H198" s="11"/>
      <c r="I198" s="11"/>
      <c r="J198" s="11"/>
      <c r="K198" s="11"/>
      <c r="L198" s="11"/>
      <c r="M198" s="11"/>
      <c r="N198" s="11" t="str">
        <f aca="false">IF(A198="","",IF(SUBSTITUTE(SUBSTITUTE(B198," ",""),"|","")=A198,"OK","Split letters don't match"))</f>
        <v/>
      </c>
      <c r="O198" s="12" t="str">
        <f aca="false">IF(A198="","",IF(AND(J198="Approved",K198&lt;&gt;"",L198&lt;&gt;"",N198="OK"),"Ready","Not yet"))</f>
        <v/>
      </c>
    </row>
    <row r="199" customFormat="false" ht="15" hidden="false" customHeight="false" outlineLevel="0" collapsed="false">
      <c r="A199" s="11"/>
      <c r="B199" s="11"/>
      <c r="C199" s="11"/>
      <c r="D199" s="11"/>
      <c r="E199" s="11"/>
      <c r="F199" s="11"/>
      <c r="G199" s="11"/>
      <c r="H199" s="11"/>
      <c r="I199" s="11"/>
      <c r="J199" s="11"/>
      <c r="K199" s="11"/>
      <c r="L199" s="11"/>
      <c r="M199" s="11"/>
      <c r="N199" s="11" t="str">
        <f aca="false">IF(A199="","",IF(SUBSTITUTE(SUBSTITUTE(B199," ",""),"|","")=A199,"OK","Split letters don't match"))</f>
        <v/>
      </c>
      <c r="O199" s="12" t="str">
        <f aca="false">IF(A199="","",IF(AND(J199="Approved",K199&lt;&gt;"",L199&lt;&gt;"",N199="OK"),"Ready","Not yet"))</f>
        <v/>
      </c>
    </row>
  </sheetData>
  <autoFilter ref="A1:O62"/>
  <dataValidations count="1">
    <dataValidation allowBlank="true" errorStyle="stop" operator="between" showDropDown="false" showErrorMessage="false" showInputMessage="false" sqref="J2:J400" type="list">
      <formula1>Lists!$E$2:$E$6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8"/>
    <col collapsed="false" customWidth="true" hidden="false" outlineLevel="0" max="3" min="3" style="1" width="20"/>
    <col collapsed="false" customWidth="true" hidden="false" outlineLevel="0" max="4" min="4" style="1" width="16"/>
    <col collapsed="false" customWidth="true" hidden="false" outlineLevel="0" max="5" min="5" style="1" width="10"/>
    <col collapsed="false" customWidth="true" hidden="false" outlineLevel="0" max="6" min="6" style="1" width="26"/>
    <col collapsed="false" customWidth="true" hidden="false" outlineLevel="0" max="7" min="7" style="1" width="12"/>
    <col collapsed="false" customWidth="true" hidden="false" outlineLevel="0" max="10" min="8" style="1" width="16"/>
    <col collapsed="false" customWidth="true" hidden="false" outlineLevel="0" max="11" min="11" style="1" width="40"/>
    <col collapsed="false" customWidth="true" hidden="false" outlineLevel="0" max="12" min="12" style="1" width="28"/>
    <col collapsed="false" customWidth="true" hidden="false" outlineLevel="0" max="13" min="13" style="1" width="40"/>
    <col collapsed="false" customWidth="true" hidden="false" outlineLevel="0" max="14" min="14" style="1" width="14"/>
    <col collapsed="false" customWidth="true" hidden="false" outlineLevel="0" max="17" min="15" style="1" width="28"/>
    <col collapsed="false" customWidth="true" hidden="false" outlineLevel="0" max="19" min="18" style="1" width="14"/>
    <col collapsed="false" customWidth="true" hidden="false" outlineLevel="0" max="20" min="20" style="1" width="13"/>
    <col collapsed="false" customWidth="true" hidden="false" outlineLevel="0" max="21" min="21" style="1" width="14"/>
    <col collapsed="false" customWidth="true" hidden="false" outlineLevel="0" max="22" min="22" style="1" width="13"/>
    <col collapsed="false" customWidth="true" hidden="false" outlineLevel="0" max="23" min="23" style="1" width="30"/>
    <col collapsed="false" customWidth="true" hidden="false" outlineLevel="0" max="24" min="24" style="1" width="14"/>
    <col collapsed="false" customWidth="true" hidden="false" outlineLevel="0" max="25" min="25" style="1" width="22"/>
  </cols>
  <sheetData>
    <row r="1" customFormat="false" ht="30" hidden="false" customHeight="true" outlineLevel="0" collapsed="false">
      <c r="A1" s="10" t="s">
        <v>705</v>
      </c>
      <c r="B1" s="10" t="s">
        <v>706</v>
      </c>
      <c r="C1" s="10" t="s">
        <v>388</v>
      </c>
      <c r="D1" s="10" t="s">
        <v>707</v>
      </c>
      <c r="E1" s="10" t="s">
        <v>708</v>
      </c>
      <c r="F1" s="10" t="s">
        <v>709</v>
      </c>
      <c r="G1" s="10" t="s">
        <v>710</v>
      </c>
      <c r="H1" s="10" t="s">
        <v>711</v>
      </c>
      <c r="I1" s="10" t="s">
        <v>44</v>
      </c>
      <c r="J1" s="10" t="s">
        <v>712</v>
      </c>
      <c r="K1" s="10" t="s">
        <v>713</v>
      </c>
      <c r="L1" s="10" t="s">
        <v>714</v>
      </c>
      <c r="M1" s="10" t="s">
        <v>11</v>
      </c>
      <c r="N1" s="10" t="s">
        <v>9</v>
      </c>
      <c r="O1" s="10" t="s">
        <v>715</v>
      </c>
      <c r="P1" s="10" t="s">
        <v>716</v>
      </c>
      <c r="Q1" s="10" t="s">
        <v>717</v>
      </c>
      <c r="R1" s="10" t="s">
        <v>718</v>
      </c>
      <c r="S1" s="10" t="s">
        <v>46</v>
      </c>
      <c r="T1" s="10" t="s">
        <v>47</v>
      </c>
      <c r="U1" s="10" t="s">
        <v>48</v>
      </c>
      <c r="V1" s="10" t="s">
        <v>49</v>
      </c>
      <c r="W1" s="10" t="s">
        <v>50</v>
      </c>
      <c r="X1" s="10" t="s">
        <v>51</v>
      </c>
      <c r="Y1" s="10" t="s">
        <v>719</v>
      </c>
    </row>
    <row r="2" customFormat="false" ht="23.25" hidden="false" customHeight="true" outlineLevel="0" collapsed="false">
      <c r="A2" s="11" t="s">
        <v>720</v>
      </c>
      <c r="B2" s="11" t="s">
        <v>721</v>
      </c>
      <c r="C2" s="11" t="s">
        <v>722</v>
      </c>
      <c r="D2" s="11" t="s">
        <v>105</v>
      </c>
      <c r="E2" s="11" t="s">
        <v>106</v>
      </c>
      <c r="F2" s="11" t="s">
        <v>107</v>
      </c>
      <c r="G2" s="11" t="s">
        <v>723</v>
      </c>
      <c r="H2" s="11" t="s">
        <v>724</v>
      </c>
      <c r="I2" s="11" t="s">
        <v>109</v>
      </c>
      <c r="J2" s="11" t="s">
        <v>108</v>
      </c>
      <c r="K2" s="11" t="s">
        <v>725</v>
      </c>
      <c r="L2" s="11" t="s">
        <v>726</v>
      </c>
      <c r="M2" s="11" t="s">
        <v>727</v>
      </c>
      <c r="N2" s="11" t="s">
        <v>107</v>
      </c>
      <c r="O2" s="11"/>
      <c r="P2" s="11"/>
      <c r="Q2" s="11"/>
      <c r="R2" s="11" t="s">
        <v>728</v>
      </c>
      <c r="S2" s="11" t="s">
        <v>59</v>
      </c>
      <c r="T2" s="11" t="s">
        <v>60</v>
      </c>
      <c r="U2" s="13"/>
      <c r="V2" s="14"/>
      <c r="W2" s="13"/>
      <c r="X2" s="7" t="str">
        <f aca="false">IF(D2="","",IF(AND(T2="Approved",U2&lt;&gt;"",V2&lt;&gt;""),"Ready","Not yet"))</f>
        <v>Not yet</v>
      </c>
      <c r="Y2" s="7" t="str">
        <f aca="false">IF(N2="","",IF(COUNTIF($N$2:$N$201,N2)&gt;1,"Shares group: never same board",""))</f>
        <v/>
      </c>
    </row>
    <row r="3" customFormat="false" ht="23.25" hidden="false" customHeight="true" outlineLevel="0" collapsed="false">
      <c r="A3" s="11" t="s">
        <v>729</v>
      </c>
      <c r="B3" s="11" t="s">
        <v>721</v>
      </c>
      <c r="C3" s="11" t="s">
        <v>722</v>
      </c>
      <c r="D3" s="11" t="s">
        <v>116</v>
      </c>
      <c r="E3" s="11" t="s">
        <v>106</v>
      </c>
      <c r="F3" s="11" t="s">
        <v>117</v>
      </c>
      <c r="G3" s="11" t="s">
        <v>723</v>
      </c>
      <c r="H3" s="11" t="s">
        <v>730</v>
      </c>
      <c r="I3" s="11" t="s">
        <v>119</v>
      </c>
      <c r="J3" s="11" t="s">
        <v>118</v>
      </c>
      <c r="K3" s="11" t="s">
        <v>731</v>
      </c>
      <c r="L3" s="11" t="s">
        <v>732</v>
      </c>
      <c r="M3" s="11" t="s">
        <v>733</v>
      </c>
      <c r="N3" s="11" t="s">
        <v>117</v>
      </c>
      <c r="O3" s="11"/>
      <c r="P3" s="11"/>
      <c r="Q3" s="11"/>
      <c r="R3" s="11" t="s">
        <v>728</v>
      </c>
      <c r="S3" s="11" t="s">
        <v>59</v>
      </c>
      <c r="T3" s="11" t="s">
        <v>60</v>
      </c>
      <c r="U3" s="13"/>
      <c r="V3" s="14"/>
      <c r="W3" s="13"/>
      <c r="X3" s="7" t="str">
        <f aca="false">IF(D3="","",IF(AND(T3="Approved",U3&lt;&gt;"",V3&lt;&gt;""),"Ready","Not yet"))</f>
        <v>Not yet</v>
      </c>
      <c r="Y3" s="7" t="str">
        <f aca="false">IF(N3="","",IF(COUNTIF($N$2:$N$201,N3)&gt;1,"Shares group: never same board",""))</f>
        <v/>
      </c>
    </row>
    <row r="4" customFormat="false" ht="23.25" hidden="false" customHeight="true" outlineLevel="0" collapsed="false">
      <c r="A4" s="11" t="s">
        <v>734</v>
      </c>
      <c r="B4" s="11" t="s">
        <v>721</v>
      </c>
      <c r="C4" s="11" t="s">
        <v>722</v>
      </c>
      <c r="D4" s="11" t="s">
        <v>111</v>
      </c>
      <c r="E4" s="11" t="s">
        <v>106</v>
      </c>
      <c r="F4" s="11" t="s">
        <v>112</v>
      </c>
      <c r="G4" s="11" t="s">
        <v>723</v>
      </c>
      <c r="H4" s="11" t="s">
        <v>735</v>
      </c>
      <c r="I4" s="11" t="s">
        <v>114</v>
      </c>
      <c r="J4" s="11" t="s">
        <v>113</v>
      </c>
      <c r="K4" s="11" t="s">
        <v>736</v>
      </c>
      <c r="L4" s="11" t="s">
        <v>737</v>
      </c>
      <c r="M4" s="11" t="s">
        <v>738</v>
      </c>
      <c r="N4" s="11" t="s">
        <v>112</v>
      </c>
      <c r="O4" s="11"/>
      <c r="P4" s="11"/>
      <c r="Q4" s="11"/>
      <c r="R4" s="11" t="s">
        <v>728</v>
      </c>
      <c r="S4" s="11" t="s">
        <v>59</v>
      </c>
      <c r="T4" s="11" t="s">
        <v>60</v>
      </c>
      <c r="U4" s="13"/>
      <c r="V4" s="14"/>
      <c r="W4" s="13"/>
      <c r="X4" s="7" t="str">
        <f aca="false">IF(D4="","",IF(AND(T4="Approved",U4&lt;&gt;"",V4&lt;&gt;""),"Ready","Not yet"))</f>
        <v>Not yet</v>
      </c>
      <c r="Y4" s="7" t="str">
        <f aca="false">IF(N4="","",IF(COUNTIF($N$2:$N$201,N4)&gt;1,"Shares group: never same board",""))</f>
        <v/>
      </c>
    </row>
    <row r="5" customFormat="false" ht="23.25" hidden="false" customHeight="true" outlineLevel="0" collapsed="false">
      <c r="A5" s="11" t="s">
        <v>739</v>
      </c>
      <c r="B5" s="11" t="s">
        <v>721</v>
      </c>
      <c r="C5" s="11" t="s">
        <v>722</v>
      </c>
      <c r="D5" s="11" t="s">
        <v>121</v>
      </c>
      <c r="E5" s="11" t="s">
        <v>106</v>
      </c>
      <c r="F5" s="11" t="s">
        <v>122</v>
      </c>
      <c r="G5" s="11" t="s">
        <v>723</v>
      </c>
      <c r="H5" s="11" t="s">
        <v>740</v>
      </c>
      <c r="I5" s="11" t="s">
        <v>124</v>
      </c>
      <c r="J5" s="11" t="s">
        <v>123</v>
      </c>
      <c r="K5" s="11" t="s">
        <v>741</v>
      </c>
      <c r="L5" s="11" t="s">
        <v>742</v>
      </c>
      <c r="M5" s="11" t="s">
        <v>743</v>
      </c>
      <c r="N5" s="11" t="s">
        <v>122</v>
      </c>
      <c r="O5" s="11"/>
      <c r="P5" s="11"/>
      <c r="Q5" s="11"/>
      <c r="R5" s="11" t="s">
        <v>728</v>
      </c>
      <c r="S5" s="11" t="s">
        <v>59</v>
      </c>
      <c r="T5" s="11" t="s">
        <v>60</v>
      </c>
      <c r="U5" s="13"/>
      <c r="V5" s="14"/>
      <c r="W5" s="13"/>
      <c r="X5" s="7" t="str">
        <f aca="false">IF(D5="","",IF(AND(T5="Approved",U5&lt;&gt;"",V5&lt;&gt;""),"Ready","Not yet"))</f>
        <v>Not yet</v>
      </c>
      <c r="Y5" s="7" t="str">
        <f aca="false">IF(N5="","",IF(COUNTIF($N$2:$N$201,N5)&gt;1,"Shares group: never same board",""))</f>
        <v/>
      </c>
    </row>
    <row r="6" customFormat="false" ht="23.25" hidden="false" customHeight="true" outlineLevel="0" collapsed="false">
      <c r="A6" s="11" t="s">
        <v>744</v>
      </c>
      <c r="B6" s="11" t="s">
        <v>745</v>
      </c>
      <c r="C6" s="11" t="s">
        <v>746</v>
      </c>
      <c r="D6" s="11" t="s">
        <v>66</v>
      </c>
      <c r="E6" s="11" t="s">
        <v>54</v>
      </c>
      <c r="F6" s="11" t="s">
        <v>747</v>
      </c>
      <c r="G6" s="11" t="s">
        <v>748</v>
      </c>
      <c r="H6" s="11"/>
      <c r="I6" s="11" t="s">
        <v>749</v>
      </c>
      <c r="J6" s="11" t="s">
        <v>68</v>
      </c>
      <c r="K6" s="11" t="s">
        <v>750</v>
      </c>
      <c r="L6" s="11" t="s">
        <v>751</v>
      </c>
      <c r="M6" s="11" t="s">
        <v>752</v>
      </c>
      <c r="N6" s="11" t="s">
        <v>753</v>
      </c>
      <c r="O6" s="11"/>
      <c r="P6" s="11"/>
      <c r="Q6" s="11"/>
      <c r="R6" s="11" t="s">
        <v>728</v>
      </c>
      <c r="S6" s="11" t="s">
        <v>59</v>
      </c>
      <c r="T6" s="11" t="s">
        <v>60</v>
      </c>
      <c r="U6" s="13"/>
      <c r="V6" s="14"/>
      <c r="W6" s="13"/>
      <c r="X6" s="7" t="str">
        <f aca="false">IF(D6="","",IF(AND(T6="Approved",U6&lt;&gt;"",V6&lt;&gt;""),"Ready","Not yet"))</f>
        <v>Not yet</v>
      </c>
      <c r="Y6" s="7" t="str">
        <f aca="false">IF(N6="","",IF(COUNTIF($N$2:$N$201,N6)&gt;1,"Shares group: never same board",""))</f>
        <v/>
      </c>
    </row>
    <row r="7" customFormat="false" ht="23.25" hidden="false" customHeight="true" outlineLevel="0" collapsed="false">
      <c r="A7" s="11" t="s">
        <v>754</v>
      </c>
      <c r="B7" s="11" t="s">
        <v>745</v>
      </c>
      <c r="C7" s="11" t="s">
        <v>746</v>
      </c>
      <c r="D7" s="11" t="s">
        <v>62</v>
      </c>
      <c r="E7" s="11" t="s">
        <v>54</v>
      </c>
      <c r="F7" s="11" t="s">
        <v>63</v>
      </c>
      <c r="G7" s="11" t="s">
        <v>748</v>
      </c>
      <c r="H7" s="11"/>
      <c r="I7" s="11" t="s">
        <v>749</v>
      </c>
      <c r="J7" s="11" t="s">
        <v>64</v>
      </c>
      <c r="K7" s="11" t="s">
        <v>755</v>
      </c>
      <c r="L7" s="11" t="s">
        <v>756</v>
      </c>
      <c r="M7" s="11" t="s">
        <v>757</v>
      </c>
      <c r="N7" s="11" t="s">
        <v>758</v>
      </c>
      <c r="O7" s="11"/>
      <c r="P7" s="11"/>
      <c r="Q7" s="11"/>
      <c r="R7" s="11" t="s">
        <v>728</v>
      </c>
      <c r="S7" s="11" t="s">
        <v>59</v>
      </c>
      <c r="T7" s="11" t="s">
        <v>60</v>
      </c>
      <c r="U7" s="13"/>
      <c r="V7" s="14"/>
      <c r="W7" s="13"/>
      <c r="X7" s="7" t="str">
        <f aca="false">IF(D7="","",IF(AND(T7="Approved",U7&lt;&gt;"",V7&lt;&gt;""),"Ready","Not yet"))</f>
        <v>Not yet</v>
      </c>
      <c r="Y7" s="7" t="str">
        <f aca="false">IF(N7="","",IF(COUNTIF($N$2:$N$201,N7)&gt;1,"Shares group: never same board",""))</f>
        <v/>
      </c>
    </row>
    <row r="8" customFormat="false" ht="15" hidden="false" customHeight="true" outlineLevel="0" collapsed="false">
      <c r="A8" s="11" t="s">
        <v>759</v>
      </c>
      <c r="B8" s="11" t="s">
        <v>745</v>
      </c>
      <c r="C8" s="11" t="s">
        <v>746</v>
      </c>
      <c r="D8" s="11" t="s">
        <v>297</v>
      </c>
      <c r="E8" s="11" t="s">
        <v>298</v>
      </c>
      <c r="F8" s="11" t="s">
        <v>299</v>
      </c>
      <c r="G8" s="11" t="s">
        <v>748</v>
      </c>
      <c r="H8" s="11"/>
      <c r="I8" s="11" t="s">
        <v>749</v>
      </c>
      <c r="J8" s="11" t="s">
        <v>300</v>
      </c>
      <c r="K8" s="11" t="s">
        <v>760</v>
      </c>
      <c r="L8" s="11" t="s">
        <v>761</v>
      </c>
      <c r="M8" s="11" t="s">
        <v>762</v>
      </c>
      <c r="N8" s="11" t="s">
        <v>299</v>
      </c>
      <c r="O8" s="11"/>
      <c r="P8" s="11"/>
      <c r="Q8" s="11"/>
      <c r="R8" s="11" t="s">
        <v>728</v>
      </c>
      <c r="S8" s="11" t="s">
        <v>59</v>
      </c>
      <c r="T8" s="11" t="s">
        <v>60</v>
      </c>
      <c r="U8" s="13"/>
      <c r="V8" s="14"/>
      <c r="W8" s="13"/>
      <c r="X8" s="7" t="str">
        <f aca="false">IF(D8="","",IF(AND(T8="Approved",U8&lt;&gt;"",V8&lt;&gt;""),"Ready","Not yet"))</f>
        <v>Not yet</v>
      </c>
      <c r="Y8" s="7" t="str">
        <f aca="false">IF(N8="","",IF(COUNTIF($N$2:$N$201,N8)&gt;1,"Shares group: never same board",""))</f>
        <v/>
      </c>
    </row>
    <row r="9" customFormat="false" ht="23.25" hidden="false" customHeight="true" outlineLevel="0" collapsed="false">
      <c r="A9" s="11" t="s">
        <v>763</v>
      </c>
      <c r="B9" s="11" t="s">
        <v>745</v>
      </c>
      <c r="C9" s="11" t="s">
        <v>746</v>
      </c>
      <c r="D9" s="11" t="s">
        <v>302</v>
      </c>
      <c r="E9" s="11" t="s">
        <v>298</v>
      </c>
      <c r="F9" s="11" t="s">
        <v>303</v>
      </c>
      <c r="G9" s="11" t="s">
        <v>748</v>
      </c>
      <c r="H9" s="11"/>
      <c r="I9" s="11" t="s">
        <v>749</v>
      </c>
      <c r="J9" s="11" t="s">
        <v>304</v>
      </c>
      <c r="K9" s="11" t="s">
        <v>764</v>
      </c>
      <c r="L9" s="11" t="s">
        <v>765</v>
      </c>
      <c r="M9" s="11" t="s">
        <v>766</v>
      </c>
      <c r="N9" s="11" t="s">
        <v>767</v>
      </c>
      <c r="O9" s="11"/>
      <c r="P9" s="11"/>
      <c r="Q9" s="11"/>
      <c r="R9" s="11" t="s">
        <v>728</v>
      </c>
      <c r="S9" s="11" t="s">
        <v>59</v>
      </c>
      <c r="T9" s="11" t="s">
        <v>60</v>
      </c>
      <c r="U9" s="13"/>
      <c r="V9" s="14"/>
      <c r="W9" s="13"/>
      <c r="X9" s="7" t="str">
        <f aca="false">IF(D9="","",IF(AND(T9="Approved",U9&lt;&gt;"",V9&lt;&gt;""),"Ready","Not yet"))</f>
        <v>Not yet</v>
      </c>
      <c r="Y9" s="7" t="str">
        <f aca="false">IF(N9="","",IF(COUNTIF($N$2:$N$201,N9)&gt;1,"Shares group: never same board",""))</f>
        <v/>
      </c>
    </row>
    <row r="10" customFormat="false" ht="15" hidden="false" customHeight="true" outlineLevel="0" collapsed="false">
      <c r="A10" s="11" t="s">
        <v>768</v>
      </c>
      <c r="B10" s="11" t="s">
        <v>769</v>
      </c>
      <c r="C10" s="11" t="s">
        <v>770</v>
      </c>
      <c r="D10" s="11" t="s">
        <v>519</v>
      </c>
      <c r="E10" s="11" t="s">
        <v>771</v>
      </c>
      <c r="F10" s="11" t="s">
        <v>522</v>
      </c>
      <c r="G10" s="11" t="s">
        <v>772</v>
      </c>
      <c r="H10" s="11"/>
      <c r="I10" s="11" t="s">
        <v>773</v>
      </c>
      <c r="J10" s="11" t="s">
        <v>523</v>
      </c>
      <c r="K10" s="11" t="s">
        <v>774</v>
      </c>
      <c r="L10" s="11" t="s">
        <v>775</v>
      </c>
      <c r="M10" s="11" t="s">
        <v>776</v>
      </c>
      <c r="N10" s="11" t="s">
        <v>315</v>
      </c>
      <c r="O10" s="11" t="s">
        <v>777</v>
      </c>
      <c r="P10" s="11" t="s">
        <v>778</v>
      </c>
      <c r="Q10" s="11" t="s">
        <v>779</v>
      </c>
      <c r="R10" s="11" t="s">
        <v>728</v>
      </c>
      <c r="S10" s="11" t="s">
        <v>59</v>
      </c>
      <c r="T10" s="11" t="s">
        <v>60</v>
      </c>
      <c r="U10" s="13"/>
      <c r="V10" s="14"/>
      <c r="W10" s="13"/>
      <c r="X10" s="7" t="str">
        <f aca="false">IF(D10="","",IF(AND(T10="Approved",U10&lt;&gt;"",V10&lt;&gt;""),"Ready","Not yet"))</f>
        <v>Not yet</v>
      </c>
      <c r="Y10" s="7" t="str">
        <f aca="false">IF(N10="","",IF(COUNTIF($N$2:$N$201,N10)&gt;1,"Shares group: never same board",""))</f>
        <v/>
      </c>
    </row>
    <row r="11" customFormat="false" ht="23.25" hidden="false" customHeight="true" outlineLevel="0" collapsed="false">
      <c r="A11" s="11" t="s">
        <v>780</v>
      </c>
      <c r="B11" s="11" t="s">
        <v>769</v>
      </c>
      <c r="C11" s="11" t="s">
        <v>770</v>
      </c>
      <c r="D11" s="11" t="s">
        <v>623</v>
      </c>
      <c r="E11" s="11" t="s">
        <v>771</v>
      </c>
      <c r="F11" s="11" t="s">
        <v>626</v>
      </c>
      <c r="G11" s="11" t="s">
        <v>772</v>
      </c>
      <c r="H11" s="11"/>
      <c r="I11" s="11" t="s">
        <v>192</v>
      </c>
      <c r="J11" s="11" t="s">
        <v>627</v>
      </c>
      <c r="K11" s="11" t="s">
        <v>781</v>
      </c>
      <c r="L11" s="11" t="s">
        <v>782</v>
      </c>
      <c r="M11" s="11" t="s">
        <v>783</v>
      </c>
      <c r="N11" s="11" t="s">
        <v>357</v>
      </c>
      <c r="O11" s="11" t="s">
        <v>784</v>
      </c>
      <c r="P11" s="11" t="s">
        <v>785</v>
      </c>
      <c r="Q11" s="11" t="s">
        <v>786</v>
      </c>
      <c r="R11" s="11" t="s">
        <v>728</v>
      </c>
      <c r="S11" s="11" t="s">
        <v>59</v>
      </c>
      <c r="T11" s="11" t="s">
        <v>60</v>
      </c>
      <c r="U11" s="13"/>
      <c r="V11" s="14"/>
      <c r="W11" s="13"/>
      <c r="X11" s="7" t="str">
        <f aca="false">IF(D11="","",IF(AND(T11="Approved",U11&lt;&gt;"",V11&lt;&gt;""),"Ready","Not yet"))</f>
        <v>Not yet</v>
      </c>
      <c r="Y11" s="7" t="str">
        <f aca="false">IF(N11="","",IF(COUNTIF($N$2:$N$201,N11)&gt;1,"Shares group: never same board",""))</f>
        <v/>
      </c>
    </row>
    <row r="12" customFormat="false" ht="34.5" hidden="false" customHeight="true" outlineLevel="0" collapsed="false">
      <c r="A12" s="11" t="s">
        <v>787</v>
      </c>
      <c r="B12" s="11" t="s">
        <v>769</v>
      </c>
      <c r="C12" s="11" t="s">
        <v>770</v>
      </c>
      <c r="D12" s="11" t="s">
        <v>561</v>
      </c>
      <c r="E12" s="11" t="s">
        <v>771</v>
      </c>
      <c r="F12" s="11" t="s">
        <v>564</v>
      </c>
      <c r="G12" s="11" t="s">
        <v>772</v>
      </c>
      <c r="H12" s="11"/>
      <c r="I12" s="11" t="s">
        <v>183</v>
      </c>
      <c r="J12" s="11" t="s">
        <v>565</v>
      </c>
      <c r="K12" s="11" t="s">
        <v>788</v>
      </c>
      <c r="L12" s="11" t="s">
        <v>789</v>
      </c>
      <c r="M12" s="11" t="s">
        <v>790</v>
      </c>
      <c r="N12" s="11" t="s">
        <v>791</v>
      </c>
      <c r="O12" s="11" t="s">
        <v>792</v>
      </c>
      <c r="P12" s="11" t="s">
        <v>793</v>
      </c>
      <c r="Q12" s="11" t="s">
        <v>794</v>
      </c>
      <c r="R12" s="11" t="s">
        <v>728</v>
      </c>
      <c r="S12" s="11" t="s">
        <v>59</v>
      </c>
      <c r="T12" s="11" t="s">
        <v>60</v>
      </c>
      <c r="U12" s="13"/>
      <c r="V12" s="14"/>
      <c r="W12" s="13"/>
      <c r="X12" s="7" t="str">
        <f aca="false">IF(D12="","",IF(AND(T12="Approved",U12&lt;&gt;"",V12&lt;&gt;""),"Ready","Not yet"))</f>
        <v>Not yet</v>
      </c>
      <c r="Y12" s="7" t="str">
        <f aca="false">IF(N12="","",IF(COUNTIF($N$2:$N$201,N12)&gt;1,"Shares group: never same board",""))</f>
        <v/>
      </c>
    </row>
    <row r="13" customFormat="false" ht="23.25" hidden="false" customHeight="true" outlineLevel="0" collapsed="false">
      <c r="A13" s="11" t="s">
        <v>795</v>
      </c>
      <c r="B13" s="11" t="s">
        <v>769</v>
      </c>
      <c r="C13" s="11" t="s">
        <v>770</v>
      </c>
      <c r="D13" s="11" t="s">
        <v>648</v>
      </c>
      <c r="E13" s="11" t="s">
        <v>771</v>
      </c>
      <c r="F13" s="11" t="s">
        <v>651</v>
      </c>
      <c r="G13" s="11" t="s">
        <v>772</v>
      </c>
      <c r="H13" s="11"/>
      <c r="I13" s="11" t="s">
        <v>109</v>
      </c>
      <c r="J13" s="11" t="s">
        <v>652</v>
      </c>
      <c r="K13" s="11" t="s">
        <v>796</v>
      </c>
      <c r="L13" s="11" t="s">
        <v>797</v>
      </c>
      <c r="M13" s="11" t="s">
        <v>798</v>
      </c>
      <c r="N13" s="11" t="s">
        <v>799</v>
      </c>
      <c r="O13" s="11" t="s">
        <v>800</v>
      </c>
      <c r="P13" s="11" t="s">
        <v>801</v>
      </c>
      <c r="Q13" s="11" t="s">
        <v>802</v>
      </c>
      <c r="R13" s="11" t="s">
        <v>728</v>
      </c>
      <c r="S13" s="11" t="s">
        <v>59</v>
      </c>
      <c r="T13" s="11" t="s">
        <v>60</v>
      </c>
      <c r="U13" s="13"/>
      <c r="V13" s="14"/>
      <c r="W13" s="13"/>
      <c r="X13" s="7" t="str">
        <f aca="false">IF(D13="","",IF(AND(T13="Approved",U13&lt;&gt;"",V13&lt;&gt;""),"Ready","Not yet"))</f>
        <v>Not yet</v>
      </c>
      <c r="Y13" s="7" t="str">
        <f aca="false">IF(N13="","",IF(COUNTIF($N$2:$N$201,N13)&gt;1,"Shares group: never same board",""))</f>
        <v/>
      </c>
    </row>
    <row r="14" customFormat="false" ht="15" hidden="false" customHeight="true" outlineLevel="0" collapsed="false">
      <c r="A14" s="13"/>
      <c r="B14" s="13"/>
      <c r="C14" s="13"/>
      <c r="D14" s="13"/>
      <c r="E14" s="13"/>
      <c r="F14" s="13"/>
      <c r="G14" s="13"/>
      <c r="H14" s="13"/>
      <c r="I14" s="13"/>
      <c r="J14" s="13"/>
      <c r="K14" s="13"/>
      <c r="L14" s="13"/>
      <c r="M14" s="13"/>
      <c r="N14" s="13"/>
      <c r="O14" s="13"/>
      <c r="P14" s="13"/>
      <c r="Q14" s="13"/>
      <c r="R14" s="13"/>
      <c r="S14" s="13"/>
      <c r="T14" s="13"/>
      <c r="U14" s="13"/>
      <c r="V14" s="14"/>
      <c r="W14" s="13"/>
      <c r="X14" s="7" t="str">
        <f aca="false">IF(D14="","",IF(AND(T14="Approved",U14&lt;&gt;"",V14&lt;&gt;""),"Ready","Not yet"))</f>
        <v/>
      </c>
      <c r="Y14" s="7" t="str">
        <f aca="false">IF(N14="","",IF(COUNTIF($N$2:$N$201,N14)&gt;1,"Shares group: never same board",""))</f>
        <v/>
      </c>
    </row>
    <row r="15" customFormat="false" ht="15" hidden="false" customHeight="true" outlineLevel="0" collapsed="false">
      <c r="A15" s="13"/>
      <c r="B15" s="13"/>
      <c r="C15" s="13"/>
      <c r="D15" s="13"/>
      <c r="E15" s="13"/>
      <c r="F15" s="13"/>
      <c r="G15" s="13"/>
      <c r="H15" s="13"/>
      <c r="I15" s="13"/>
      <c r="J15" s="13"/>
      <c r="K15" s="13"/>
      <c r="L15" s="13"/>
      <c r="M15" s="13"/>
      <c r="N15" s="13"/>
      <c r="O15" s="13"/>
      <c r="P15" s="13"/>
      <c r="Q15" s="13"/>
      <c r="R15" s="13"/>
      <c r="S15" s="13"/>
      <c r="T15" s="13"/>
      <c r="U15" s="13"/>
      <c r="V15" s="14"/>
      <c r="W15" s="13"/>
      <c r="X15" s="7" t="str">
        <f aca="false">IF(D15="","",IF(AND(T15="Approved",U15&lt;&gt;"",V15&lt;&gt;""),"Ready","Not yet"))</f>
        <v/>
      </c>
      <c r="Y15" s="7" t="str">
        <f aca="false">IF(N15="","",IF(COUNTIF($N$2:$N$201,N15)&gt;1,"Shares group: never same board",""))</f>
        <v/>
      </c>
    </row>
    <row r="16" customFormat="false" ht="15" hidden="false" customHeight="true" outlineLevel="0" collapsed="false">
      <c r="A16" s="13"/>
      <c r="B16" s="13"/>
      <c r="C16" s="13"/>
      <c r="D16" s="13"/>
      <c r="E16" s="13"/>
      <c r="F16" s="13"/>
      <c r="G16" s="13"/>
      <c r="H16" s="13"/>
      <c r="I16" s="13"/>
      <c r="J16" s="13"/>
      <c r="K16" s="13"/>
      <c r="L16" s="13"/>
      <c r="M16" s="13"/>
      <c r="N16" s="13"/>
      <c r="O16" s="13"/>
      <c r="P16" s="13"/>
      <c r="Q16" s="13"/>
      <c r="R16" s="13"/>
      <c r="S16" s="13"/>
      <c r="T16" s="13"/>
      <c r="U16" s="13"/>
      <c r="V16" s="14"/>
      <c r="W16" s="13"/>
      <c r="X16" s="7" t="str">
        <f aca="false">IF(D16="","",IF(AND(T16="Approved",U16&lt;&gt;"",V16&lt;&gt;""),"Ready","Not yet"))</f>
        <v/>
      </c>
      <c r="Y16" s="7" t="str">
        <f aca="false">IF(N16="","",IF(COUNTIF($N$2:$N$201,N16)&gt;1,"Shares group: never same board",""))</f>
        <v/>
      </c>
    </row>
    <row r="17" customFormat="false" ht="15" hidden="false" customHeight="true" outlineLevel="0" collapsed="false">
      <c r="A17" s="13"/>
      <c r="B17" s="13"/>
      <c r="C17" s="13"/>
      <c r="D17" s="13"/>
      <c r="E17" s="13"/>
      <c r="F17" s="13"/>
      <c r="G17" s="13"/>
      <c r="H17" s="13"/>
      <c r="I17" s="13"/>
      <c r="J17" s="13"/>
      <c r="K17" s="13"/>
      <c r="L17" s="13"/>
      <c r="M17" s="13"/>
      <c r="N17" s="13"/>
      <c r="O17" s="13"/>
      <c r="P17" s="13"/>
      <c r="Q17" s="13"/>
      <c r="R17" s="13"/>
      <c r="S17" s="13"/>
      <c r="T17" s="13"/>
      <c r="U17" s="13"/>
      <c r="V17" s="14"/>
      <c r="W17" s="13"/>
      <c r="X17" s="7" t="str">
        <f aca="false">IF(D17="","",IF(AND(T17="Approved",U17&lt;&gt;"",V17&lt;&gt;""),"Ready","Not yet"))</f>
        <v/>
      </c>
      <c r="Y17" s="7" t="str">
        <f aca="false">IF(N17="","",IF(COUNTIF($N$2:$N$201,N17)&gt;1,"Shares group: never same board",""))</f>
        <v/>
      </c>
    </row>
    <row r="18" customFormat="false" ht="15" hidden="false" customHeight="true" outlineLevel="0" collapsed="false">
      <c r="A18" s="13"/>
      <c r="B18" s="13"/>
      <c r="C18" s="13"/>
      <c r="D18" s="13"/>
      <c r="E18" s="13"/>
      <c r="F18" s="13"/>
      <c r="G18" s="13"/>
      <c r="H18" s="13"/>
      <c r="I18" s="13"/>
      <c r="J18" s="13"/>
      <c r="K18" s="13"/>
      <c r="L18" s="13"/>
      <c r="M18" s="13"/>
      <c r="N18" s="13"/>
      <c r="O18" s="13"/>
      <c r="P18" s="13"/>
      <c r="Q18" s="13"/>
      <c r="R18" s="13"/>
      <c r="S18" s="13"/>
      <c r="T18" s="13"/>
      <c r="U18" s="13"/>
      <c r="V18" s="14"/>
      <c r="W18" s="13"/>
      <c r="X18" s="7" t="str">
        <f aca="false">IF(D18="","",IF(AND(T18="Approved",U18&lt;&gt;"",V18&lt;&gt;""),"Ready","Not yet"))</f>
        <v/>
      </c>
      <c r="Y18" s="7" t="str">
        <f aca="false">IF(N18="","",IF(COUNTIF($N$2:$N$201,N18)&gt;1,"Shares group: never same board",""))</f>
        <v/>
      </c>
    </row>
    <row r="19" customFormat="false" ht="15" hidden="false" customHeight="true" outlineLevel="0" collapsed="false">
      <c r="A19" s="13"/>
      <c r="B19" s="13"/>
      <c r="C19" s="13"/>
      <c r="D19" s="13"/>
      <c r="E19" s="13"/>
      <c r="F19" s="13"/>
      <c r="G19" s="13"/>
      <c r="H19" s="13"/>
      <c r="I19" s="13"/>
      <c r="J19" s="13"/>
      <c r="K19" s="13"/>
      <c r="L19" s="13"/>
      <c r="M19" s="13"/>
      <c r="N19" s="13"/>
      <c r="O19" s="13"/>
      <c r="P19" s="13"/>
      <c r="Q19" s="13"/>
      <c r="R19" s="13"/>
      <c r="S19" s="13"/>
      <c r="T19" s="13"/>
      <c r="U19" s="13"/>
      <c r="V19" s="14"/>
      <c r="W19" s="13"/>
      <c r="X19" s="7" t="str">
        <f aca="false">IF(D19="","",IF(AND(T19="Approved",U19&lt;&gt;"",V19&lt;&gt;""),"Ready","Not yet"))</f>
        <v/>
      </c>
      <c r="Y19" s="7" t="str">
        <f aca="false">IF(N19="","",IF(COUNTIF($N$2:$N$201,N19)&gt;1,"Shares group: never same board",""))</f>
        <v/>
      </c>
    </row>
    <row r="20" customFormat="false" ht="15" hidden="false" customHeight="true" outlineLevel="0" collapsed="false">
      <c r="A20" s="13"/>
      <c r="B20" s="13"/>
      <c r="C20" s="13"/>
      <c r="D20" s="13"/>
      <c r="E20" s="13"/>
      <c r="F20" s="13"/>
      <c r="G20" s="13"/>
      <c r="H20" s="13"/>
      <c r="I20" s="13"/>
      <c r="J20" s="13"/>
      <c r="K20" s="13"/>
      <c r="L20" s="13"/>
      <c r="M20" s="13"/>
      <c r="N20" s="13"/>
      <c r="O20" s="13"/>
      <c r="P20" s="13"/>
      <c r="Q20" s="13"/>
      <c r="R20" s="13"/>
      <c r="S20" s="13"/>
      <c r="T20" s="13"/>
      <c r="U20" s="13"/>
      <c r="V20" s="14"/>
      <c r="W20" s="13"/>
      <c r="X20" s="7" t="str">
        <f aca="false">IF(D20="","",IF(AND(T20="Approved",U20&lt;&gt;"",V20&lt;&gt;""),"Ready","Not yet"))</f>
        <v/>
      </c>
      <c r="Y20" s="7" t="str">
        <f aca="false">IF(N20="","",IF(COUNTIF($N$2:$N$201,N20)&gt;1,"Shares group: never same board",""))</f>
        <v/>
      </c>
    </row>
    <row r="21" customFormat="false" ht="15" hidden="false" customHeight="true" outlineLevel="0" collapsed="false">
      <c r="A21" s="13"/>
      <c r="B21" s="13"/>
      <c r="C21" s="13"/>
      <c r="D21" s="13"/>
      <c r="E21" s="13"/>
      <c r="F21" s="13"/>
      <c r="G21" s="13"/>
      <c r="H21" s="13"/>
      <c r="I21" s="13"/>
      <c r="J21" s="13"/>
      <c r="K21" s="13"/>
      <c r="L21" s="13"/>
      <c r="M21" s="13"/>
      <c r="N21" s="13"/>
      <c r="O21" s="13"/>
      <c r="P21" s="13"/>
      <c r="Q21" s="13"/>
      <c r="R21" s="13"/>
      <c r="S21" s="13"/>
      <c r="T21" s="13"/>
      <c r="U21" s="13"/>
      <c r="V21" s="14"/>
      <c r="W21" s="13"/>
      <c r="X21" s="7" t="str">
        <f aca="false">IF(D21="","",IF(AND(T21="Approved",U21&lt;&gt;"",V21&lt;&gt;""),"Ready","Not yet"))</f>
        <v/>
      </c>
      <c r="Y21" s="7" t="str">
        <f aca="false">IF(N21="","",IF(COUNTIF($N$2:$N$201,N21)&gt;1,"Shares group: never same board",""))</f>
        <v/>
      </c>
    </row>
    <row r="22" customFormat="false" ht="15" hidden="false" customHeight="true" outlineLevel="0" collapsed="false">
      <c r="A22" s="13"/>
      <c r="B22" s="13"/>
      <c r="C22" s="13"/>
      <c r="D22" s="13"/>
      <c r="E22" s="13"/>
      <c r="F22" s="13"/>
      <c r="G22" s="13"/>
      <c r="H22" s="13"/>
      <c r="I22" s="13"/>
      <c r="J22" s="13"/>
      <c r="K22" s="13"/>
      <c r="L22" s="13"/>
      <c r="M22" s="13"/>
      <c r="N22" s="13"/>
      <c r="O22" s="13"/>
      <c r="P22" s="13"/>
      <c r="Q22" s="13"/>
      <c r="R22" s="13"/>
      <c r="S22" s="13"/>
      <c r="T22" s="13"/>
      <c r="U22" s="13"/>
      <c r="V22" s="14"/>
      <c r="W22" s="13"/>
      <c r="X22" s="7" t="str">
        <f aca="false">IF(D22="","",IF(AND(T22="Approved",U22&lt;&gt;"",V22&lt;&gt;""),"Ready","Not yet"))</f>
        <v/>
      </c>
      <c r="Y22" s="7" t="str">
        <f aca="false">IF(N22="","",IF(COUNTIF($N$2:$N$201,N22)&gt;1,"Shares group: never same board",""))</f>
        <v/>
      </c>
    </row>
    <row r="23" customFormat="false" ht="15" hidden="false" customHeight="true" outlineLevel="0" collapsed="false">
      <c r="A23" s="13"/>
      <c r="B23" s="13"/>
      <c r="C23" s="13"/>
      <c r="D23" s="13"/>
      <c r="E23" s="13"/>
      <c r="F23" s="13"/>
      <c r="G23" s="13"/>
      <c r="H23" s="13"/>
      <c r="I23" s="13"/>
      <c r="J23" s="13"/>
      <c r="K23" s="13"/>
      <c r="L23" s="13"/>
      <c r="M23" s="13"/>
      <c r="N23" s="13"/>
      <c r="O23" s="13"/>
      <c r="P23" s="13"/>
      <c r="Q23" s="13"/>
      <c r="R23" s="13"/>
      <c r="S23" s="13"/>
      <c r="T23" s="13"/>
      <c r="U23" s="13"/>
      <c r="V23" s="14"/>
      <c r="W23" s="13"/>
      <c r="X23" s="7" t="str">
        <f aca="false">IF(D23="","",IF(AND(T23="Approved",U23&lt;&gt;"",V23&lt;&gt;""),"Ready","Not yet"))</f>
        <v/>
      </c>
      <c r="Y23" s="7" t="str">
        <f aca="false">IF(N23="","",IF(COUNTIF($N$2:$N$201,N23)&gt;1,"Shares group: never same board",""))</f>
        <v/>
      </c>
    </row>
    <row r="24" customFormat="false" ht="15" hidden="false" customHeight="true" outlineLevel="0" collapsed="false">
      <c r="A24" s="13"/>
      <c r="B24" s="13"/>
      <c r="C24" s="13"/>
      <c r="D24" s="13"/>
      <c r="E24" s="13"/>
      <c r="F24" s="13"/>
      <c r="G24" s="13"/>
      <c r="H24" s="13"/>
      <c r="I24" s="13"/>
      <c r="J24" s="13"/>
      <c r="K24" s="13"/>
      <c r="L24" s="13"/>
      <c r="M24" s="13"/>
      <c r="N24" s="13"/>
      <c r="O24" s="13"/>
      <c r="P24" s="13"/>
      <c r="Q24" s="13"/>
      <c r="R24" s="13"/>
      <c r="S24" s="13"/>
      <c r="T24" s="13"/>
      <c r="U24" s="13"/>
      <c r="V24" s="14"/>
      <c r="W24" s="13"/>
      <c r="X24" s="7" t="str">
        <f aca="false">IF(D24="","",IF(AND(T24="Approved",U24&lt;&gt;"",V24&lt;&gt;""),"Ready","Not yet"))</f>
        <v/>
      </c>
      <c r="Y24" s="7" t="str">
        <f aca="false">IF(N24="","",IF(COUNTIF($N$2:$N$201,N24)&gt;1,"Shares group: never same board",""))</f>
        <v/>
      </c>
    </row>
    <row r="25" customFormat="false" ht="15" hidden="false" customHeight="true" outlineLevel="0" collapsed="false">
      <c r="A25" s="13"/>
      <c r="B25" s="13"/>
      <c r="C25" s="13"/>
      <c r="D25" s="13"/>
      <c r="E25" s="13"/>
      <c r="F25" s="13"/>
      <c r="G25" s="13"/>
      <c r="H25" s="13"/>
      <c r="I25" s="13"/>
      <c r="J25" s="13"/>
      <c r="K25" s="13"/>
      <c r="L25" s="13"/>
      <c r="M25" s="13"/>
      <c r="N25" s="13"/>
      <c r="O25" s="13"/>
      <c r="P25" s="13"/>
      <c r="Q25" s="13"/>
      <c r="R25" s="13"/>
      <c r="S25" s="13"/>
      <c r="T25" s="13"/>
      <c r="U25" s="13"/>
      <c r="V25" s="14"/>
      <c r="W25" s="13"/>
      <c r="X25" s="7" t="str">
        <f aca="false">IF(D25="","",IF(AND(T25="Approved",U25&lt;&gt;"",V25&lt;&gt;""),"Ready","Not yet"))</f>
        <v/>
      </c>
      <c r="Y25" s="7" t="str">
        <f aca="false">IF(N25="","",IF(COUNTIF($N$2:$N$201,N25)&gt;1,"Shares group: never same board",""))</f>
        <v/>
      </c>
    </row>
    <row r="26" customFormat="false" ht="15" hidden="false" customHeight="true" outlineLevel="0" collapsed="false">
      <c r="A26" s="13"/>
      <c r="B26" s="13"/>
      <c r="C26" s="13"/>
      <c r="D26" s="13"/>
      <c r="E26" s="13"/>
      <c r="F26" s="13"/>
      <c r="G26" s="13"/>
      <c r="H26" s="13"/>
      <c r="I26" s="13"/>
      <c r="J26" s="13"/>
      <c r="K26" s="13"/>
      <c r="L26" s="13"/>
      <c r="M26" s="13"/>
      <c r="N26" s="13"/>
      <c r="O26" s="13"/>
      <c r="P26" s="13"/>
      <c r="Q26" s="13"/>
      <c r="R26" s="13"/>
      <c r="S26" s="13"/>
      <c r="T26" s="13"/>
      <c r="U26" s="13"/>
      <c r="V26" s="14"/>
      <c r="W26" s="13"/>
      <c r="X26" s="7" t="str">
        <f aca="false">IF(D26="","",IF(AND(T26="Approved",U26&lt;&gt;"",V26&lt;&gt;""),"Ready","Not yet"))</f>
        <v/>
      </c>
      <c r="Y26" s="7" t="str">
        <f aca="false">IF(N26="","",IF(COUNTIF($N$2:$N$201,N26)&gt;1,"Shares group: never same board",""))</f>
        <v/>
      </c>
    </row>
    <row r="27" customFormat="false" ht="15" hidden="false" customHeight="true" outlineLevel="0" collapsed="false">
      <c r="A27" s="13"/>
      <c r="B27" s="13"/>
      <c r="C27" s="13"/>
      <c r="D27" s="13"/>
      <c r="E27" s="13"/>
      <c r="F27" s="13"/>
      <c r="G27" s="13"/>
      <c r="H27" s="13"/>
      <c r="I27" s="13"/>
      <c r="J27" s="13"/>
      <c r="K27" s="13"/>
      <c r="L27" s="13"/>
      <c r="M27" s="13"/>
      <c r="N27" s="13"/>
      <c r="O27" s="13"/>
      <c r="P27" s="13"/>
      <c r="Q27" s="13"/>
      <c r="R27" s="13"/>
      <c r="S27" s="13"/>
      <c r="T27" s="13"/>
      <c r="U27" s="13"/>
      <c r="V27" s="14"/>
      <c r="W27" s="13"/>
      <c r="X27" s="7" t="str">
        <f aca="false">IF(D27="","",IF(AND(T27="Approved",U27&lt;&gt;"",V27&lt;&gt;""),"Ready","Not yet"))</f>
        <v/>
      </c>
      <c r="Y27" s="7" t="str">
        <f aca="false">IF(N27="","",IF(COUNTIF($N$2:$N$201,N27)&gt;1,"Shares group: never same board",""))</f>
        <v/>
      </c>
    </row>
    <row r="28" customFormat="false" ht="15" hidden="false" customHeight="true" outlineLevel="0" collapsed="false">
      <c r="A28" s="13"/>
      <c r="B28" s="13"/>
      <c r="C28" s="13"/>
      <c r="D28" s="13"/>
      <c r="E28" s="13"/>
      <c r="F28" s="13"/>
      <c r="G28" s="13"/>
      <c r="H28" s="13"/>
      <c r="I28" s="13"/>
      <c r="J28" s="13"/>
      <c r="K28" s="13"/>
      <c r="L28" s="13"/>
      <c r="M28" s="13"/>
      <c r="N28" s="13"/>
      <c r="O28" s="13"/>
      <c r="P28" s="13"/>
      <c r="Q28" s="13"/>
      <c r="R28" s="13"/>
      <c r="S28" s="13"/>
      <c r="T28" s="13"/>
      <c r="U28" s="13"/>
      <c r="V28" s="14"/>
      <c r="W28" s="13"/>
      <c r="X28" s="7" t="str">
        <f aca="false">IF(D28="","",IF(AND(T28="Approved",U28&lt;&gt;"",V28&lt;&gt;""),"Ready","Not yet"))</f>
        <v/>
      </c>
      <c r="Y28" s="7" t="str">
        <f aca="false">IF(N28="","",IF(COUNTIF($N$2:$N$201,N28)&gt;1,"Shares group: never same board",""))</f>
        <v/>
      </c>
    </row>
    <row r="29" customFormat="false" ht="15" hidden="false" customHeight="true" outlineLevel="0" collapsed="false">
      <c r="A29" s="13"/>
      <c r="B29" s="13"/>
      <c r="C29" s="13"/>
      <c r="D29" s="13"/>
      <c r="E29" s="13"/>
      <c r="F29" s="13"/>
      <c r="G29" s="13"/>
      <c r="H29" s="13"/>
      <c r="I29" s="13"/>
      <c r="J29" s="13"/>
      <c r="K29" s="13"/>
      <c r="L29" s="13"/>
      <c r="M29" s="13"/>
      <c r="N29" s="13"/>
      <c r="O29" s="13"/>
      <c r="P29" s="13"/>
      <c r="Q29" s="13"/>
      <c r="R29" s="13"/>
      <c r="S29" s="13"/>
      <c r="T29" s="13"/>
      <c r="U29" s="13"/>
      <c r="V29" s="14"/>
      <c r="W29" s="13"/>
      <c r="X29" s="7" t="str">
        <f aca="false">IF(D29="","",IF(AND(T29="Approved",U29&lt;&gt;"",V29&lt;&gt;""),"Ready","Not yet"))</f>
        <v/>
      </c>
      <c r="Y29" s="7" t="str">
        <f aca="false">IF(N29="","",IF(COUNTIF($N$2:$N$201,N29)&gt;1,"Shares group: never same board",""))</f>
        <v/>
      </c>
    </row>
    <row r="30" customFormat="false" ht="15" hidden="false" customHeight="true" outlineLevel="0" collapsed="false">
      <c r="A30" s="13"/>
      <c r="B30" s="13"/>
      <c r="C30" s="13"/>
      <c r="D30" s="13"/>
      <c r="E30" s="13"/>
      <c r="F30" s="13"/>
      <c r="G30" s="13"/>
      <c r="H30" s="13"/>
      <c r="I30" s="13"/>
      <c r="J30" s="13"/>
      <c r="K30" s="13"/>
      <c r="L30" s="13"/>
      <c r="M30" s="13"/>
      <c r="N30" s="13"/>
      <c r="O30" s="13"/>
      <c r="P30" s="13"/>
      <c r="Q30" s="13"/>
      <c r="R30" s="13"/>
      <c r="S30" s="13"/>
      <c r="T30" s="13"/>
      <c r="U30" s="13"/>
      <c r="V30" s="14"/>
      <c r="W30" s="13"/>
      <c r="X30" s="7" t="str">
        <f aca="false">IF(D30="","",IF(AND(T30="Approved",U30&lt;&gt;"",V30&lt;&gt;""),"Ready","Not yet"))</f>
        <v/>
      </c>
      <c r="Y30" s="7" t="str">
        <f aca="false">IF(N30="","",IF(COUNTIF($N$2:$N$201,N30)&gt;1,"Shares group: never same board",""))</f>
        <v/>
      </c>
    </row>
    <row r="31" customFormat="false" ht="15" hidden="false" customHeight="true" outlineLevel="0" collapsed="false">
      <c r="A31" s="13"/>
      <c r="B31" s="13"/>
      <c r="C31" s="13"/>
      <c r="D31" s="13"/>
      <c r="E31" s="13"/>
      <c r="F31" s="13"/>
      <c r="G31" s="13"/>
      <c r="H31" s="13"/>
      <c r="I31" s="13"/>
      <c r="J31" s="13"/>
      <c r="K31" s="13"/>
      <c r="L31" s="13"/>
      <c r="M31" s="13"/>
      <c r="N31" s="13"/>
      <c r="O31" s="13"/>
      <c r="P31" s="13"/>
      <c r="Q31" s="13"/>
      <c r="R31" s="13"/>
      <c r="S31" s="13"/>
      <c r="T31" s="13"/>
      <c r="U31" s="13"/>
      <c r="V31" s="14"/>
      <c r="W31" s="13"/>
      <c r="X31" s="7" t="str">
        <f aca="false">IF(D31="","",IF(AND(T31="Approved",U31&lt;&gt;"",V31&lt;&gt;""),"Ready","Not yet"))</f>
        <v/>
      </c>
      <c r="Y31" s="7" t="str">
        <f aca="false">IF(N31="","",IF(COUNTIF($N$2:$N$201,N31)&gt;1,"Shares group: never same board",""))</f>
        <v/>
      </c>
    </row>
    <row r="32" customFormat="false" ht="15" hidden="false" customHeight="true" outlineLevel="0" collapsed="false">
      <c r="A32" s="13"/>
      <c r="B32" s="13"/>
      <c r="C32" s="13"/>
      <c r="D32" s="13"/>
      <c r="E32" s="13"/>
      <c r="F32" s="13"/>
      <c r="G32" s="13"/>
      <c r="H32" s="13"/>
      <c r="I32" s="13"/>
      <c r="J32" s="13"/>
      <c r="K32" s="13"/>
      <c r="L32" s="13"/>
      <c r="M32" s="13"/>
      <c r="N32" s="13"/>
      <c r="O32" s="13"/>
      <c r="P32" s="13"/>
      <c r="Q32" s="13"/>
      <c r="R32" s="13"/>
      <c r="S32" s="13"/>
      <c r="T32" s="13"/>
      <c r="U32" s="13"/>
      <c r="V32" s="14"/>
      <c r="W32" s="13"/>
      <c r="X32" s="7" t="str">
        <f aca="false">IF(D32="","",IF(AND(T32="Approved",U32&lt;&gt;"",V32&lt;&gt;""),"Ready","Not yet"))</f>
        <v/>
      </c>
      <c r="Y32" s="7" t="str">
        <f aca="false">IF(N32="","",IF(COUNTIF($N$2:$N$201,N32)&gt;1,"Shares group: never same board",""))</f>
        <v/>
      </c>
    </row>
    <row r="33" customFormat="false" ht="15" hidden="false" customHeight="true" outlineLevel="0" collapsed="false">
      <c r="A33" s="13"/>
      <c r="B33" s="13"/>
      <c r="C33" s="13"/>
      <c r="D33" s="13"/>
      <c r="E33" s="13"/>
      <c r="F33" s="13"/>
      <c r="G33" s="13"/>
      <c r="H33" s="13"/>
      <c r="I33" s="13"/>
      <c r="J33" s="13"/>
      <c r="K33" s="13"/>
      <c r="L33" s="13"/>
      <c r="M33" s="13"/>
      <c r="N33" s="13"/>
      <c r="O33" s="13"/>
      <c r="P33" s="13"/>
      <c r="Q33" s="13"/>
      <c r="R33" s="13"/>
      <c r="S33" s="13"/>
      <c r="T33" s="13"/>
      <c r="U33" s="13"/>
      <c r="V33" s="14"/>
      <c r="W33" s="13"/>
      <c r="X33" s="7" t="str">
        <f aca="false">IF(D33="","",IF(AND(T33="Approved",U33&lt;&gt;"",V33&lt;&gt;""),"Ready","Not yet"))</f>
        <v/>
      </c>
      <c r="Y33" s="7" t="str">
        <f aca="false">IF(N33="","",IF(COUNTIF($N$2:$N$201,N33)&gt;1,"Shares group: never same board",""))</f>
        <v/>
      </c>
    </row>
    <row r="34" customFormat="false" ht="15" hidden="false" customHeight="true" outlineLevel="0" collapsed="false">
      <c r="A34" s="13"/>
      <c r="B34" s="13"/>
      <c r="C34" s="13"/>
      <c r="D34" s="13"/>
      <c r="E34" s="13"/>
      <c r="F34" s="13"/>
      <c r="G34" s="13"/>
      <c r="H34" s="13"/>
      <c r="I34" s="13"/>
      <c r="J34" s="13"/>
      <c r="K34" s="13"/>
      <c r="L34" s="13"/>
      <c r="M34" s="13"/>
      <c r="N34" s="13"/>
      <c r="O34" s="13"/>
      <c r="P34" s="13"/>
      <c r="Q34" s="13"/>
      <c r="R34" s="13"/>
      <c r="S34" s="13"/>
      <c r="T34" s="13"/>
      <c r="U34" s="13"/>
      <c r="V34" s="14"/>
      <c r="W34" s="13"/>
      <c r="X34" s="7" t="str">
        <f aca="false">IF(D34="","",IF(AND(T34="Approved",U34&lt;&gt;"",V34&lt;&gt;""),"Ready","Not yet"))</f>
        <v/>
      </c>
      <c r="Y34" s="7" t="str">
        <f aca="false">IF(N34="","",IF(COUNTIF($N$2:$N$201,N34)&gt;1,"Shares group: never same board",""))</f>
        <v/>
      </c>
    </row>
    <row r="35" customFormat="false" ht="15" hidden="false" customHeight="true" outlineLevel="0" collapsed="false">
      <c r="A35" s="13"/>
      <c r="B35" s="13"/>
      <c r="C35" s="13"/>
      <c r="D35" s="13"/>
      <c r="E35" s="13"/>
      <c r="F35" s="13"/>
      <c r="G35" s="13"/>
      <c r="H35" s="13"/>
      <c r="I35" s="13"/>
      <c r="J35" s="13"/>
      <c r="K35" s="13"/>
      <c r="L35" s="13"/>
      <c r="M35" s="13"/>
      <c r="N35" s="13"/>
      <c r="O35" s="13"/>
      <c r="P35" s="13"/>
      <c r="Q35" s="13"/>
      <c r="R35" s="13"/>
      <c r="S35" s="13"/>
      <c r="T35" s="13"/>
      <c r="U35" s="13"/>
      <c r="V35" s="14"/>
      <c r="W35" s="13"/>
      <c r="X35" s="7" t="str">
        <f aca="false">IF(D35="","",IF(AND(T35="Approved",U35&lt;&gt;"",V35&lt;&gt;""),"Ready","Not yet"))</f>
        <v/>
      </c>
      <c r="Y35" s="7" t="str">
        <f aca="false">IF(N35="","",IF(COUNTIF($N$2:$N$201,N35)&gt;1,"Shares group: never same board",""))</f>
        <v/>
      </c>
    </row>
    <row r="36" customFormat="false" ht="15" hidden="false" customHeight="true" outlineLevel="0" collapsed="false">
      <c r="A36" s="13"/>
      <c r="B36" s="13"/>
      <c r="C36" s="13"/>
      <c r="D36" s="13"/>
      <c r="E36" s="13"/>
      <c r="F36" s="13"/>
      <c r="G36" s="13"/>
      <c r="H36" s="13"/>
      <c r="I36" s="13"/>
      <c r="J36" s="13"/>
      <c r="K36" s="13"/>
      <c r="L36" s="13"/>
      <c r="M36" s="13"/>
      <c r="N36" s="13"/>
      <c r="O36" s="13"/>
      <c r="P36" s="13"/>
      <c r="Q36" s="13"/>
      <c r="R36" s="13"/>
      <c r="S36" s="13"/>
      <c r="T36" s="13"/>
      <c r="U36" s="13"/>
      <c r="V36" s="14"/>
      <c r="W36" s="13"/>
      <c r="X36" s="7" t="str">
        <f aca="false">IF(D36="","",IF(AND(T36="Approved",U36&lt;&gt;"",V36&lt;&gt;""),"Ready","Not yet"))</f>
        <v/>
      </c>
      <c r="Y36" s="7" t="str">
        <f aca="false">IF(N36="","",IF(COUNTIF($N$2:$N$201,N36)&gt;1,"Shares group: never same board",""))</f>
        <v/>
      </c>
    </row>
    <row r="37" customFormat="false" ht="15" hidden="false" customHeight="true" outlineLevel="0" collapsed="false">
      <c r="A37" s="13"/>
      <c r="B37" s="13"/>
      <c r="C37" s="13"/>
      <c r="D37" s="13"/>
      <c r="E37" s="13"/>
      <c r="F37" s="13"/>
      <c r="G37" s="13"/>
      <c r="H37" s="13"/>
      <c r="I37" s="13"/>
      <c r="J37" s="13"/>
      <c r="K37" s="13"/>
      <c r="L37" s="13"/>
      <c r="M37" s="13"/>
      <c r="N37" s="13"/>
      <c r="O37" s="13"/>
      <c r="P37" s="13"/>
      <c r="Q37" s="13"/>
      <c r="R37" s="13"/>
      <c r="S37" s="13"/>
      <c r="T37" s="13"/>
      <c r="U37" s="13"/>
      <c r="V37" s="14"/>
      <c r="W37" s="13"/>
      <c r="X37" s="7" t="str">
        <f aca="false">IF(D37="","",IF(AND(T37="Approved",U37&lt;&gt;"",V37&lt;&gt;""),"Ready","Not yet"))</f>
        <v/>
      </c>
      <c r="Y37" s="7" t="str">
        <f aca="false">IF(N37="","",IF(COUNTIF($N$2:$N$201,N37)&gt;1,"Shares group: never same board",""))</f>
        <v/>
      </c>
    </row>
    <row r="38" customFormat="false" ht="15" hidden="false" customHeight="true" outlineLevel="0" collapsed="false">
      <c r="A38" s="13"/>
      <c r="B38" s="13"/>
      <c r="C38" s="13"/>
      <c r="D38" s="13"/>
      <c r="E38" s="13"/>
      <c r="F38" s="13"/>
      <c r="G38" s="13"/>
      <c r="H38" s="13"/>
      <c r="I38" s="13"/>
      <c r="J38" s="13"/>
      <c r="K38" s="13"/>
      <c r="L38" s="13"/>
      <c r="M38" s="13"/>
      <c r="N38" s="13"/>
      <c r="O38" s="13"/>
      <c r="P38" s="13"/>
      <c r="Q38" s="13"/>
      <c r="R38" s="13"/>
      <c r="S38" s="13"/>
      <c r="T38" s="13"/>
      <c r="U38" s="13"/>
      <c r="V38" s="14"/>
      <c r="W38" s="13"/>
      <c r="X38" s="7" t="str">
        <f aca="false">IF(D38="","",IF(AND(T38="Approved",U38&lt;&gt;"",V38&lt;&gt;""),"Ready","Not yet"))</f>
        <v/>
      </c>
      <c r="Y38" s="7" t="str">
        <f aca="false">IF(N38="","",IF(COUNTIF($N$2:$N$201,N38)&gt;1,"Shares group: never same board",""))</f>
        <v/>
      </c>
    </row>
    <row r="39" customFormat="false" ht="15" hidden="false" customHeight="true" outlineLevel="0" collapsed="false">
      <c r="A39" s="13"/>
      <c r="B39" s="13"/>
      <c r="C39" s="13"/>
      <c r="D39" s="13"/>
      <c r="E39" s="13"/>
      <c r="F39" s="13"/>
      <c r="G39" s="13"/>
      <c r="H39" s="13"/>
      <c r="I39" s="13"/>
      <c r="J39" s="13"/>
      <c r="K39" s="13"/>
      <c r="L39" s="13"/>
      <c r="M39" s="13"/>
      <c r="N39" s="13"/>
      <c r="O39" s="13"/>
      <c r="P39" s="13"/>
      <c r="Q39" s="13"/>
      <c r="R39" s="13"/>
      <c r="S39" s="13"/>
      <c r="T39" s="13"/>
      <c r="U39" s="13"/>
      <c r="V39" s="14"/>
      <c r="W39" s="13"/>
      <c r="X39" s="7" t="str">
        <f aca="false">IF(D39="","",IF(AND(T39="Approved",U39&lt;&gt;"",V39&lt;&gt;""),"Ready","Not yet"))</f>
        <v/>
      </c>
      <c r="Y39" s="7" t="str">
        <f aca="false">IF(N39="","",IF(COUNTIF($N$2:$N$201,N39)&gt;1,"Shares group: never same board",""))</f>
        <v/>
      </c>
    </row>
    <row r="40" customFormat="false" ht="15" hidden="false" customHeight="true" outlineLevel="0" collapsed="false">
      <c r="A40" s="13"/>
      <c r="B40" s="13"/>
      <c r="C40" s="13"/>
      <c r="D40" s="13"/>
      <c r="E40" s="13"/>
      <c r="F40" s="13"/>
      <c r="G40" s="13"/>
      <c r="H40" s="13"/>
      <c r="I40" s="13"/>
      <c r="J40" s="13"/>
      <c r="K40" s="13"/>
      <c r="L40" s="13"/>
      <c r="M40" s="13"/>
      <c r="N40" s="13"/>
      <c r="O40" s="13"/>
      <c r="P40" s="13"/>
      <c r="Q40" s="13"/>
      <c r="R40" s="13"/>
      <c r="S40" s="13"/>
      <c r="T40" s="13"/>
      <c r="U40" s="13"/>
      <c r="V40" s="14"/>
      <c r="W40" s="13"/>
      <c r="X40" s="7" t="str">
        <f aca="false">IF(D40="","",IF(AND(T40="Approved",U40&lt;&gt;"",V40&lt;&gt;""),"Ready","Not yet"))</f>
        <v/>
      </c>
      <c r="Y40" s="7" t="str">
        <f aca="false">IF(N40="","",IF(COUNTIF($N$2:$N$201,N40)&gt;1,"Shares group: never same board",""))</f>
        <v/>
      </c>
    </row>
    <row r="41" customFormat="false" ht="15" hidden="false" customHeight="true" outlineLevel="0" collapsed="false">
      <c r="A41" s="13"/>
      <c r="B41" s="13"/>
      <c r="C41" s="13"/>
      <c r="D41" s="13"/>
      <c r="E41" s="13"/>
      <c r="F41" s="13"/>
      <c r="G41" s="13"/>
      <c r="H41" s="13"/>
      <c r="I41" s="13"/>
      <c r="J41" s="13"/>
      <c r="K41" s="13"/>
      <c r="L41" s="13"/>
      <c r="M41" s="13"/>
      <c r="N41" s="13"/>
      <c r="O41" s="13"/>
      <c r="P41" s="13"/>
      <c r="Q41" s="13"/>
      <c r="R41" s="13"/>
      <c r="S41" s="13"/>
      <c r="T41" s="13"/>
      <c r="U41" s="13"/>
      <c r="V41" s="14"/>
      <c r="W41" s="13"/>
      <c r="X41" s="7" t="str">
        <f aca="false">IF(D41="","",IF(AND(T41="Approved",U41&lt;&gt;"",V41&lt;&gt;""),"Ready","Not yet"))</f>
        <v/>
      </c>
      <c r="Y41" s="7" t="str">
        <f aca="false">IF(N41="","",IF(COUNTIF($N$2:$N$201,N41)&gt;1,"Shares group: never same board",""))</f>
        <v/>
      </c>
    </row>
    <row r="42" customFormat="false" ht="15" hidden="false" customHeight="true" outlineLevel="0" collapsed="false">
      <c r="A42" s="13"/>
      <c r="B42" s="13"/>
      <c r="C42" s="13"/>
      <c r="D42" s="13"/>
      <c r="E42" s="13"/>
      <c r="F42" s="13"/>
      <c r="G42" s="13"/>
      <c r="H42" s="13"/>
      <c r="I42" s="13"/>
      <c r="J42" s="13"/>
      <c r="K42" s="13"/>
      <c r="L42" s="13"/>
      <c r="M42" s="13"/>
      <c r="N42" s="13"/>
      <c r="O42" s="13"/>
      <c r="P42" s="13"/>
      <c r="Q42" s="13"/>
      <c r="R42" s="13"/>
      <c r="S42" s="13"/>
      <c r="T42" s="13"/>
      <c r="U42" s="13"/>
      <c r="V42" s="14"/>
      <c r="W42" s="13"/>
      <c r="X42" s="7" t="str">
        <f aca="false">IF(D42="","",IF(AND(T42="Approved",U42&lt;&gt;"",V42&lt;&gt;""),"Ready","Not yet"))</f>
        <v/>
      </c>
      <c r="Y42" s="7" t="str">
        <f aca="false">IF(N42="","",IF(COUNTIF($N$2:$N$201,N42)&gt;1,"Shares group: never same board",""))</f>
        <v/>
      </c>
    </row>
    <row r="43" customFormat="false" ht="15" hidden="false" customHeight="true" outlineLevel="0" collapsed="false">
      <c r="A43" s="13"/>
      <c r="B43" s="13"/>
      <c r="C43" s="13"/>
      <c r="D43" s="13"/>
      <c r="E43" s="13"/>
      <c r="F43" s="13"/>
      <c r="G43" s="13"/>
      <c r="H43" s="13"/>
      <c r="I43" s="13"/>
      <c r="J43" s="13"/>
      <c r="K43" s="13"/>
      <c r="L43" s="13"/>
      <c r="M43" s="13"/>
      <c r="N43" s="13"/>
      <c r="O43" s="13"/>
      <c r="P43" s="13"/>
      <c r="Q43" s="13"/>
      <c r="R43" s="13"/>
      <c r="S43" s="13"/>
      <c r="T43" s="13"/>
      <c r="U43" s="13"/>
      <c r="V43" s="14"/>
      <c r="W43" s="13"/>
      <c r="X43" s="7" t="str">
        <f aca="false">IF(D43="","",IF(AND(T43="Approved",U43&lt;&gt;"",V43&lt;&gt;""),"Ready","Not yet"))</f>
        <v/>
      </c>
      <c r="Y43" s="7" t="str">
        <f aca="false">IF(N43="","",IF(COUNTIF($N$2:$N$201,N43)&gt;1,"Shares group: never same board",""))</f>
        <v/>
      </c>
    </row>
    <row r="44" customFormat="false" ht="15" hidden="false" customHeight="true" outlineLevel="0" collapsed="false">
      <c r="A44" s="13"/>
      <c r="B44" s="13"/>
      <c r="C44" s="13"/>
      <c r="D44" s="13"/>
      <c r="E44" s="13"/>
      <c r="F44" s="13"/>
      <c r="G44" s="13"/>
      <c r="H44" s="13"/>
      <c r="I44" s="13"/>
      <c r="J44" s="13"/>
      <c r="K44" s="13"/>
      <c r="L44" s="13"/>
      <c r="M44" s="13"/>
      <c r="N44" s="13"/>
      <c r="O44" s="13"/>
      <c r="P44" s="13"/>
      <c r="Q44" s="13"/>
      <c r="R44" s="13"/>
      <c r="S44" s="13"/>
      <c r="T44" s="13"/>
      <c r="U44" s="13"/>
      <c r="V44" s="14"/>
      <c r="W44" s="13"/>
      <c r="X44" s="7" t="str">
        <f aca="false">IF(D44="","",IF(AND(T44="Approved",U44&lt;&gt;"",V44&lt;&gt;""),"Ready","Not yet"))</f>
        <v/>
      </c>
      <c r="Y44" s="7" t="str">
        <f aca="false">IF(N44="","",IF(COUNTIF($N$2:$N$201,N44)&gt;1,"Shares group: never same board",""))</f>
        <v/>
      </c>
    </row>
    <row r="45" customFormat="false" ht="15" hidden="false" customHeight="true" outlineLevel="0" collapsed="false">
      <c r="A45" s="13"/>
      <c r="B45" s="13"/>
      <c r="C45" s="13"/>
      <c r="D45" s="13"/>
      <c r="E45" s="13"/>
      <c r="F45" s="13"/>
      <c r="G45" s="13"/>
      <c r="H45" s="13"/>
      <c r="I45" s="13"/>
      <c r="J45" s="13"/>
      <c r="K45" s="13"/>
      <c r="L45" s="13"/>
      <c r="M45" s="13"/>
      <c r="N45" s="13"/>
      <c r="O45" s="13"/>
      <c r="P45" s="13"/>
      <c r="Q45" s="13"/>
      <c r="R45" s="13"/>
      <c r="S45" s="13"/>
      <c r="T45" s="13"/>
      <c r="U45" s="13"/>
      <c r="V45" s="14"/>
      <c r="W45" s="13"/>
      <c r="X45" s="7" t="str">
        <f aca="false">IF(D45="","",IF(AND(T45="Approved",U45&lt;&gt;"",V45&lt;&gt;""),"Ready","Not yet"))</f>
        <v/>
      </c>
      <c r="Y45" s="7" t="str">
        <f aca="false">IF(N45="","",IF(COUNTIF($N$2:$N$201,N45)&gt;1,"Shares group: never same board",""))</f>
        <v/>
      </c>
    </row>
    <row r="46" customFormat="false" ht="15" hidden="false" customHeight="true" outlineLevel="0" collapsed="false">
      <c r="A46" s="13"/>
      <c r="B46" s="13"/>
      <c r="C46" s="13"/>
      <c r="D46" s="13"/>
      <c r="E46" s="13"/>
      <c r="F46" s="13"/>
      <c r="G46" s="13"/>
      <c r="H46" s="13"/>
      <c r="I46" s="13"/>
      <c r="J46" s="13"/>
      <c r="K46" s="13"/>
      <c r="L46" s="13"/>
      <c r="M46" s="13"/>
      <c r="N46" s="13"/>
      <c r="O46" s="13"/>
      <c r="P46" s="13"/>
      <c r="Q46" s="13"/>
      <c r="R46" s="13"/>
      <c r="S46" s="13"/>
      <c r="T46" s="13"/>
      <c r="U46" s="13"/>
      <c r="V46" s="14"/>
      <c r="W46" s="13"/>
      <c r="X46" s="7" t="str">
        <f aca="false">IF(D46="","",IF(AND(T46="Approved",U46&lt;&gt;"",V46&lt;&gt;""),"Ready","Not yet"))</f>
        <v/>
      </c>
      <c r="Y46" s="7" t="str">
        <f aca="false">IF(N46="","",IF(COUNTIF($N$2:$N$201,N46)&gt;1,"Shares group: never same board",""))</f>
        <v/>
      </c>
    </row>
    <row r="47" customFormat="false" ht="15" hidden="false" customHeight="true" outlineLevel="0" collapsed="false">
      <c r="A47" s="13"/>
      <c r="B47" s="13"/>
      <c r="C47" s="13"/>
      <c r="D47" s="13"/>
      <c r="E47" s="13"/>
      <c r="F47" s="13"/>
      <c r="G47" s="13"/>
      <c r="H47" s="13"/>
      <c r="I47" s="13"/>
      <c r="J47" s="13"/>
      <c r="K47" s="13"/>
      <c r="L47" s="13"/>
      <c r="M47" s="13"/>
      <c r="N47" s="13"/>
      <c r="O47" s="13"/>
      <c r="P47" s="13"/>
      <c r="Q47" s="13"/>
      <c r="R47" s="13"/>
      <c r="S47" s="13"/>
      <c r="T47" s="13"/>
      <c r="U47" s="13"/>
      <c r="V47" s="14"/>
      <c r="W47" s="13"/>
      <c r="X47" s="7" t="str">
        <f aca="false">IF(D47="","",IF(AND(T47="Approved",U47&lt;&gt;"",V47&lt;&gt;""),"Ready","Not yet"))</f>
        <v/>
      </c>
      <c r="Y47" s="7" t="str">
        <f aca="false">IF(N47="","",IF(COUNTIF($N$2:$N$201,N47)&gt;1,"Shares group: never same board",""))</f>
        <v/>
      </c>
    </row>
    <row r="48" customFormat="false" ht="15" hidden="false" customHeight="true" outlineLevel="0" collapsed="false">
      <c r="A48" s="13"/>
      <c r="B48" s="13"/>
      <c r="C48" s="13"/>
      <c r="D48" s="13"/>
      <c r="E48" s="13"/>
      <c r="F48" s="13"/>
      <c r="G48" s="13"/>
      <c r="H48" s="13"/>
      <c r="I48" s="13"/>
      <c r="J48" s="13"/>
      <c r="K48" s="13"/>
      <c r="L48" s="13"/>
      <c r="M48" s="13"/>
      <c r="N48" s="13"/>
      <c r="O48" s="13"/>
      <c r="P48" s="13"/>
      <c r="Q48" s="13"/>
      <c r="R48" s="13"/>
      <c r="S48" s="13"/>
      <c r="T48" s="13"/>
      <c r="U48" s="13"/>
      <c r="V48" s="14"/>
      <c r="W48" s="13"/>
      <c r="X48" s="7" t="str">
        <f aca="false">IF(D48="","",IF(AND(T48="Approved",U48&lt;&gt;"",V48&lt;&gt;""),"Ready","Not yet"))</f>
        <v/>
      </c>
      <c r="Y48" s="7" t="str">
        <f aca="false">IF(N48="","",IF(COUNTIF($N$2:$N$201,N48)&gt;1,"Shares group: never same board",""))</f>
        <v/>
      </c>
    </row>
    <row r="49" customFormat="false" ht="15" hidden="false" customHeight="true" outlineLevel="0" collapsed="false">
      <c r="A49" s="13"/>
      <c r="B49" s="13"/>
      <c r="C49" s="13"/>
      <c r="D49" s="13"/>
      <c r="E49" s="13"/>
      <c r="F49" s="13"/>
      <c r="G49" s="13"/>
      <c r="H49" s="13"/>
      <c r="I49" s="13"/>
      <c r="J49" s="13"/>
      <c r="K49" s="13"/>
      <c r="L49" s="13"/>
      <c r="M49" s="13"/>
      <c r="N49" s="13"/>
      <c r="O49" s="13"/>
      <c r="P49" s="13"/>
      <c r="Q49" s="13"/>
      <c r="R49" s="13"/>
      <c r="S49" s="13"/>
      <c r="T49" s="13"/>
      <c r="U49" s="13"/>
      <c r="V49" s="14"/>
      <c r="W49" s="13"/>
      <c r="X49" s="7" t="str">
        <f aca="false">IF(D49="","",IF(AND(T49="Approved",U49&lt;&gt;"",V49&lt;&gt;""),"Ready","Not yet"))</f>
        <v/>
      </c>
      <c r="Y49" s="7" t="str">
        <f aca="false">IF(N49="","",IF(COUNTIF($N$2:$N$201,N49)&gt;1,"Shares group: never same board",""))</f>
        <v/>
      </c>
    </row>
    <row r="50" customFormat="false" ht="15" hidden="false" customHeight="true" outlineLevel="0" collapsed="false">
      <c r="A50" s="13"/>
      <c r="B50" s="13"/>
      <c r="C50" s="13"/>
      <c r="D50" s="13"/>
      <c r="E50" s="13"/>
      <c r="F50" s="13"/>
      <c r="G50" s="13"/>
      <c r="H50" s="13"/>
      <c r="I50" s="13"/>
      <c r="J50" s="13"/>
      <c r="K50" s="13"/>
      <c r="L50" s="13"/>
      <c r="M50" s="13"/>
      <c r="N50" s="13"/>
      <c r="O50" s="13"/>
      <c r="P50" s="13"/>
      <c r="Q50" s="13"/>
      <c r="R50" s="13"/>
      <c r="S50" s="13"/>
      <c r="T50" s="13"/>
      <c r="U50" s="13"/>
      <c r="V50" s="14"/>
      <c r="W50" s="13"/>
      <c r="X50" s="7" t="str">
        <f aca="false">IF(D50="","",IF(AND(T50="Approved",U50&lt;&gt;"",V50&lt;&gt;""),"Ready","Not yet"))</f>
        <v/>
      </c>
      <c r="Y50" s="7" t="str">
        <f aca="false">IF(N50="","",IF(COUNTIF($N$2:$N$201,N50)&gt;1,"Shares group: never same board",""))</f>
        <v/>
      </c>
    </row>
    <row r="51" customFormat="false" ht="15" hidden="false" customHeight="true" outlineLevel="0" collapsed="false">
      <c r="A51" s="13"/>
      <c r="B51" s="13"/>
      <c r="C51" s="13"/>
      <c r="D51" s="13"/>
      <c r="E51" s="13"/>
      <c r="F51" s="13"/>
      <c r="G51" s="13"/>
      <c r="H51" s="13"/>
      <c r="I51" s="13"/>
      <c r="J51" s="13"/>
      <c r="K51" s="13"/>
      <c r="L51" s="13"/>
      <c r="M51" s="13"/>
      <c r="N51" s="13"/>
      <c r="O51" s="13"/>
      <c r="P51" s="13"/>
      <c r="Q51" s="13"/>
      <c r="R51" s="13"/>
      <c r="S51" s="13"/>
      <c r="T51" s="13"/>
      <c r="U51" s="13"/>
      <c r="V51" s="14"/>
      <c r="W51" s="13"/>
      <c r="X51" s="7" t="str">
        <f aca="false">IF(D51="","",IF(AND(T51="Approved",U51&lt;&gt;"",V51&lt;&gt;""),"Ready","Not yet"))</f>
        <v/>
      </c>
      <c r="Y51" s="7" t="str">
        <f aca="false">IF(N51="","",IF(COUNTIF($N$2:$N$201,N51)&gt;1,"Shares group: never same board",""))</f>
        <v/>
      </c>
    </row>
    <row r="52" customFormat="false" ht="15" hidden="false" customHeight="true" outlineLevel="0" collapsed="false">
      <c r="A52" s="13"/>
      <c r="B52" s="13"/>
      <c r="C52" s="13"/>
      <c r="D52" s="13"/>
      <c r="E52" s="13"/>
      <c r="F52" s="13"/>
      <c r="G52" s="13"/>
      <c r="H52" s="13"/>
      <c r="I52" s="13"/>
      <c r="J52" s="13"/>
      <c r="K52" s="13"/>
      <c r="L52" s="13"/>
      <c r="M52" s="13"/>
      <c r="N52" s="13"/>
      <c r="O52" s="13"/>
      <c r="P52" s="13"/>
      <c r="Q52" s="13"/>
      <c r="R52" s="13"/>
      <c r="S52" s="13"/>
      <c r="T52" s="13"/>
      <c r="U52" s="13"/>
      <c r="V52" s="14"/>
      <c r="W52" s="13"/>
      <c r="X52" s="7" t="str">
        <f aca="false">IF(D52="","",IF(AND(T52="Approved",U52&lt;&gt;"",V52&lt;&gt;""),"Ready","Not yet"))</f>
        <v/>
      </c>
      <c r="Y52" s="7" t="str">
        <f aca="false">IF(N52="","",IF(COUNTIF($N$2:$N$201,N52)&gt;1,"Shares group: never same board",""))</f>
        <v/>
      </c>
    </row>
    <row r="53" customFormat="false" ht="15" hidden="false" customHeight="true" outlineLevel="0" collapsed="false">
      <c r="A53" s="13"/>
      <c r="B53" s="13"/>
      <c r="C53" s="13"/>
      <c r="D53" s="13"/>
      <c r="E53" s="13"/>
      <c r="F53" s="13"/>
      <c r="G53" s="13"/>
      <c r="H53" s="13"/>
      <c r="I53" s="13"/>
      <c r="J53" s="13"/>
      <c r="K53" s="13"/>
      <c r="L53" s="13"/>
      <c r="M53" s="13"/>
      <c r="N53" s="13"/>
      <c r="O53" s="13"/>
      <c r="P53" s="13"/>
      <c r="Q53" s="13"/>
      <c r="R53" s="13"/>
      <c r="S53" s="13"/>
      <c r="T53" s="13"/>
      <c r="U53" s="13"/>
      <c r="V53" s="14"/>
      <c r="W53" s="13"/>
      <c r="X53" s="7" t="str">
        <f aca="false">IF(D53="","",IF(AND(T53="Approved",U53&lt;&gt;"",V53&lt;&gt;""),"Ready","Not yet"))</f>
        <v/>
      </c>
      <c r="Y53" s="7" t="str">
        <f aca="false">IF(N53="","",IF(COUNTIF($N$2:$N$201,N53)&gt;1,"Shares group: never same board",""))</f>
        <v/>
      </c>
    </row>
    <row r="54" customFormat="false" ht="15" hidden="false" customHeight="true" outlineLevel="0" collapsed="false">
      <c r="A54" s="13"/>
      <c r="B54" s="13"/>
      <c r="C54" s="13"/>
      <c r="D54" s="13"/>
      <c r="E54" s="13"/>
      <c r="F54" s="13"/>
      <c r="G54" s="13"/>
      <c r="H54" s="13"/>
      <c r="I54" s="13"/>
      <c r="J54" s="13"/>
      <c r="K54" s="13"/>
      <c r="L54" s="13"/>
      <c r="M54" s="13"/>
      <c r="N54" s="13"/>
      <c r="O54" s="13"/>
      <c r="P54" s="13"/>
      <c r="Q54" s="13"/>
      <c r="R54" s="13"/>
      <c r="S54" s="13"/>
      <c r="T54" s="13"/>
      <c r="U54" s="13"/>
      <c r="V54" s="14"/>
      <c r="W54" s="13"/>
      <c r="X54" s="7" t="str">
        <f aca="false">IF(D54="","",IF(AND(T54="Approved",U54&lt;&gt;"",V54&lt;&gt;""),"Ready","Not yet"))</f>
        <v/>
      </c>
      <c r="Y54" s="7" t="str">
        <f aca="false">IF(N54="","",IF(COUNTIF($N$2:$N$201,N54)&gt;1,"Shares group: never same board",""))</f>
        <v/>
      </c>
    </row>
    <row r="55" customFormat="false" ht="15" hidden="false" customHeight="true" outlineLevel="0" collapsed="false">
      <c r="A55" s="13"/>
      <c r="B55" s="13"/>
      <c r="C55" s="13"/>
      <c r="D55" s="13"/>
      <c r="E55" s="13"/>
      <c r="F55" s="13"/>
      <c r="G55" s="13"/>
      <c r="H55" s="13"/>
      <c r="I55" s="13"/>
      <c r="J55" s="13"/>
      <c r="K55" s="13"/>
      <c r="L55" s="13"/>
      <c r="M55" s="13"/>
      <c r="N55" s="13"/>
      <c r="O55" s="13"/>
      <c r="P55" s="13"/>
      <c r="Q55" s="13"/>
      <c r="R55" s="13"/>
      <c r="S55" s="13"/>
      <c r="T55" s="13"/>
      <c r="U55" s="13"/>
      <c r="V55" s="14"/>
      <c r="W55" s="13"/>
      <c r="X55" s="7" t="str">
        <f aca="false">IF(D55="","",IF(AND(T55="Approved",U55&lt;&gt;"",V55&lt;&gt;""),"Ready","Not yet"))</f>
        <v/>
      </c>
      <c r="Y55" s="7" t="str">
        <f aca="false">IF(N55="","",IF(COUNTIF($N$2:$N$201,N55)&gt;1,"Shares group: never same board",""))</f>
        <v/>
      </c>
    </row>
    <row r="56" customFormat="false" ht="15" hidden="false" customHeight="true" outlineLevel="0" collapsed="false">
      <c r="A56" s="13"/>
      <c r="B56" s="13"/>
      <c r="C56" s="13"/>
      <c r="D56" s="13"/>
      <c r="E56" s="13"/>
      <c r="F56" s="13"/>
      <c r="G56" s="13"/>
      <c r="H56" s="13"/>
      <c r="I56" s="13"/>
      <c r="J56" s="13"/>
      <c r="K56" s="13"/>
      <c r="L56" s="13"/>
      <c r="M56" s="13"/>
      <c r="N56" s="13"/>
      <c r="O56" s="13"/>
      <c r="P56" s="13"/>
      <c r="Q56" s="13"/>
      <c r="R56" s="13"/>
      <c r="S56" s="13"/>
      <c r="T56" s="13"/>
      <c r="U56" s="13"/>
      <c r="V56" s="14"/>
      <c r="W56" s="13"/>
      <c r="X56" s="7" t="str">
        <f aca="false">IF(D56="","",IF(AND(T56="Approved",U56&lt;&gt;"",V56&lt;&gt;""),"Ready","Not yet"))</f>
        <v/>
      </c>
      <c r="Y56" s="7" t="str">
        <f aca="false">IF(N56="","",IF(COUNTIF($N$2:$N$201,N56)&gt;1,"Shares group: never same board",""))</f>
        <v/>
      </c>
    </row>
    <row r="57" customFormat="false" ht="15" hidden="false" customHeight="true" outlineLevel="0" collapsed="false">
      <c r="A57" s="13"/>
      <c r="B57" s="13"/>
      <c r="C57" s="13"/>
      <c r="D57" s="13"/>
      <c r="E57" s="13"/>
      <c r="F57" s="13"/>
      <c r="G57" s="13"/>
      <c r="H57" s="13"/>
      <c r="I57" s="13"/>
      <c r="J57" s="13"/>
      <c r="K57" s="13"/>
      <c r="L57" s="13"/>
      <c r="M57" s="13"/>
      <c r="N57" s="13"/>
      <c r="O57" s="13"/>
      <c r="P57" s="13"/>
      <c r="Q57" s="13"/>
      <c r="R57" s="13"/>
      <c r="S57" s="13"/>
      <c r="T57" s="13"/>
      <c r="U57" s="13"/>
      <c r="V57" s="14"/>
      <c r="W57" s="13"/>
      <c r="X57" s="7" t="str">
        <f aca="false">IF(D57="","",IF(AND(T57="Approved",U57&lt;&gt;"",V57&lt;&gt;""),"Ready","Not yet"))</f>
        <v/>
      </c>
      <c r="Y57" s="7" t="str">
        <f aca="false">IF(N57="","",IF(COUNTIF($N$2:$N$201,N57)&gt;1,"Shares group: never same board",""))</f>
        <v/>
      </c>
    </row>
    <row r="58" customFormat="false" ht="15" hidden="false" customHeight="true" outlineLevel="0" collapsed="false">
      <c r="A58" s="13"/>
      <c r="B58" s="13"/>
      <c r="C58" s="13"/>
      <c r="D58" s="13"/>
      <c r="E58" s="13"/>
      <c r="F58" s="13"/>
      <c r="G58" s="13"/>
      <c r="H58" s="13"/>
      <c r="I58" s="13"/>
      <c r="J58" s="13"/>
      <c r="K58" s="13"/>
      <c r="L58" s="13"/>
      <c r="M58" s="13"/>
      <c r="N58" s="13"/>
      <c r="O58" s="13"/>
      <c r="P58" s="13"/>
      <c r="Q58" s="13"/>
      <c r="R58" s="13"/>
      <c r="S58" s="13"/>
      <c r="T58" s="13"/>
      <c r="U58" s="13"/>
      <c r="V58" s="14"/>
      <c r="W58" s="13"/>
      <c r="X58" s="7" t="str">
        <f aca="false">IF(D58="","",IF(AND(T58="Approved",U58&lt;&gt;"",V58&lt;&gt;""),"Ready","Not yet"))</f>
        <v/>
      </c>
      <c r="Y58" s="7" t="str">
        <f aca="false">IF(N58="","",IF(COUNTIF($N$2:$N$201,N58)&gt;1,"Shares group: never same board",""))</f>
        <v/>
      </c>
    </row>
    <row r="59" customFormat="false" ht="15" hidden="false" customHeight="true" outlineLevel="0" collapsed="false">
      <c r="A59" s="13"/>
      <c r="B59" s="13"/>
      <c r="C59" s="13"/>
      <c r="D59" s="13"/>
      <c r="E59" s="13"/>
      <c r="F59" s="13"/>
      <c r="G59" s="13"/>
      <c r="H59" s="13"/>
      <c r="I59" s="13"/>
      <c r="J59" s="13"/>
      <c r="K59" s="13"/>
      <c r="L59" s="13"/>
      <c r="M59" s="13"/>
      <c r="N59" s="13"/>
      <c r="O59" s="13"/>
      <c r="P59" s="13"/>
      <c r="Q59" s="13"/>
      <c r="R59" s="13"/>
      <c r="S59" s="13"/>
      <c r="T59" s="13"/>
      <c r="U59" s="13"/>
      <c r="V59" s="14"/>
      <c r="W59" s="13"/>
      <c r="X59" s="7" t="str">
        <f aca="false">IF(D59="","",IF(AND(T59="Approved",U59&lt;&gt;"",V59&lt;&gt;""),"Ready","Not yet"))</f>
        <v/>
      </c>
      <c r="Y59" s="7" t="str">
        <f aca="false">IF(N59="","",IF(COUNTIF($N$2:$N$201,N59)&gt;1,"Shares group: never same board",""))</f>
        <v/>
      </c>
    </row>
    <row r="60" customFormat="false" ht="15" hidden="false" customHeight="true" outlineLevel="0" collapsed="false">
      <c r="A60" s="13"/>
      <c r="B60" s="13"/>
      <c r="C60" s="13"/>
      <c r="D60" s="13"/>
      <c r="E60" s="13"/>
      <c r="F60" s="13"/>
      <c r="G60" s="13"/>
      <c r="H60" s="13"/>
      <c r="I60" s="13"/>
      <c r="J60" s="13"/>
      <c r="K60" s="13"/>
      <c r="L60" s="13"/>
      <c r="M60" s="13"/>
      <c r="N60" s="13"/>
      <c r="O60" s="13"/>
      <c r="P60" s="13"/>
      <c r="Q60" s="13"/>
      <c r="R60" s="13"/>
      <c r="S60" s="13"/>
      <c r="T60" s="13"/>
      <c r="U60" s="13"/>
      <c r="V60" s="14"/>
      <c r="W60" s="13"/>
      <c r="X60" s="7" t="str">
        <f aca="false">IF(D60="","",IF(AND(T60="Approved",U60&lt;&gt;"",V60&lt;&gt;""),"Ready","Not yet"))</f>
        <v/>
      </c>
      <c r="Y60" s="7" t="str">
        <f aca="false">IF(N60="","",IF(COUNTIF($N$2:$N$201,N60)&gt;1,"Shares group: never same board",""))</f>
        <v/>
      </c>
    </row>
    <row r="61" customFormat="false" ht="15" hidden="false" customHeight="true" outlineLevel="0" collapsed="false">
      <c r="A61" s="13"/>
      <c r="B61" s="13"/>
      <c r="C61" s="13"/>
      <c r="D61" s="13"/>
      <c r="E61" s="13"/>
      <c r="F61" s="13"/>
      <c r="G61" s="13"/>
      <c r="H61" s="13"/>
      <c r="I61" s="13"/>
      <c r="J61" s="13"/>
      <c r="K61" s="13"/>
      <c r="L61" s="13"/>
      <c r="M61" s="13"/>
      <c r="N61" s="13"/>
      <c r="O61" s="13"/>
      <c r="P61" s="13"/>
      <c r="Q61" s="13"/>
      <c r="R61" s="13"/>
      <c r="S61" s="13"/>
      <c r="T61" s="13"/>
      <c r="U61" s="13"/>
      <c r="V61" s="14"/>
      <c r="W61" s="13"/>
      <c r="X61" s="7" t="str">
        <f aca="false">IF(D61="","",IF(AND(T61="Approved",U61&lt;&gt;"",V61&lt;&gt;""),"Ready","Not yet"))</f>
        <v/>
      </c>
      <c r="Y61" s="7" t="str">
        <f aca="false">IF(N61="","",IF(COUNTIF($N$2:$N$201,N61)&gt;1,"Shares group: never same board",""))</f>
        <v/>
      </c>
    </row>
    <row r="62" customFormat="false" ht="15" hidden="false" customHeight="true" outlineLevel="0" collapsed="false">
      <c r="A62" s="13"/>
      <c r="B62" s="13"/>
      <c r="C62" s="13"/>
      <c r="D62" s="13"/>
      <c r="E62" s="13"/>
      <c r="F62" s="13"/>
      <c r="G62" s="13"/>
      <c r="H62" s="13"/>
      <c r="I62" s="13"/>
      <c r="J62" s="13"/>
      <c r="K62" s="13"/>
      <c r="L62" s="13"/>
      <c r="M62" s="13"/>
      <c r="N62" s="13"/>
      <c r="O62" s="13"/>
      <c r="P62" s="13"/>
      <c r="Q62" s="13"/>
      <c r="R62" s="13"/>
      <c r="S62" s="13"/>
      <c r="T62" s="13"/>
      <c r="U62" s="13"/>
      <c r="V62" s="14"/>
      <c r="W62" s="13"/>
      <c r="X62" s="7" t="str">
        <f aca="false">IF(D62="","",IF(AND(T62="Approved",U62&lt;&gt;"",V62&lt;&gt;""),"Ready","Not yet"))</f>
        <v/>
      </c>
      <c r="Y62" s="7" t="str">
        <f aca="false">IF(N62="","",IF(COUNTIF($N$2:$N$201,N62)&gt;1,"Shares group: never same board",""))</f>
        <v/>
      </c>
    </row>
    <row r="63" customFormat="false" ht="15" hidden="false" customHeight="true" outlineLevel="0" collapsed="false">
      <c r="A63" s="13"/>
      <c r="B63" s="13"/>
      <c r="C63" s="13"/>
      <c r="D63" s="13"/>
      <c r="E63" s="13"/>
      <c r="F63" s="13"/>
      <c r="G63" s="13"/>
      <c r="H63" s="13"/>
      <c r="I63" s="13"/>
      <c r="J63" s="13"/>
      <c r="K63" s="13"/>
      <c r="L63" s="13"/>
      <c r="M63" s="13"/>
      <c r="N63" s="13"/>
      <c r="O63" s="13"/>
      <c r="P63" s="13"/>
      <c r="Q63" s="13"/>
      <c r="R63" s="13"/>
      <c r="S63" s="13"/>
      <c r="T63" s="13"/>
      <c r="U63" s="13"/>
      <c r="V63" s="14"/>
      <c r="W63" s="13"/>
      <c r="X63" s="7" t="str">
        <f aca="false">IF(D63="","",IF(AND(T63="Approved",U63&lt;&gt;"",V63&lt;&gt;""),"Ready","Not yet"))</f>
        <v/>
      </c>
      <c r="Y63" s="7" t="str">
        <f aca="false">IF(N63="","",IF(COUNTIF($N$2:$N$201,N63)&gt;1,"Shares group: never same board",""))</f>
        <v/>
      </c>
    </row>
    <row r="64" customFormat="false" ht="15" hidden="false" customHeight="true" outlineLevel="0" collapsed="false">
      <c r="A64" s="13"/>
      <c r="B64" s="13"/>
      <c r="C64" s="13"/>
      <c r="D64" s="13"/>
      <c r="E64" s="13"/>
      <c r="F64" s="13"/>
      <c r="G64" s="13"/>
      <c r="H64" s="13"/>
      <c r="I64" s="13"/>
      <c r="J64" s="13"/>
      <c r="K64" s="13"/>
      <c r="L64" s="13"/>
      <c r="M64" s="13"/>
      <c r="N64" s="13"/>
      <c r="O64" s="13"/>
      <c r="P64" s="13"/>
      <c r="Q64" s="13"/>
      <c r="R64" s="13"/>
      <c r="S64" s="13"/>
      <c r="T64" s="13"/>
      <c r="U64" s="13"/>
      <c r="V64" s="14"/>
      <c r="W64" s="13"/>
      <c r="X64" s="7" t="str">
        <f aca="false">IF(D64="","",IF(AND(T64="Approved",U64&lt;&gt;"",V64&lt;&gt;""),"Ready","Not yet"))</f>
        <v/>
      </c>
      <c r="Y64" s="7" t="str">
        <f aca="false">IF(N64="","",IF(COUNTIF($N$2:$N$201,N64)&gt;1,"Shares group: never same board",""))</f>
        <v/>
      </c>
    </row>
    <row r="65" customFormat="false" ht="15" hidden="false" customHeight="true" outlineLevel="0" collapsed="false">
      <c r="A65" s="13"/>
      <c r="B65" s="13"/>
      <c r="C65" s="13"/>
      <c r="D65" s="13"/>
      <c r="E65" s="13"/>
      <c r="F65" s="13"/>
      <c r="G65" s="13"/>
      <c r="H65" s="13"/>
      <c r="I65" s="13"/>
      <c r="J65" s="13"/>
      <c r="K65" s="13"/>
      <c r="L65" s="13"/>
      <c r="M65" s="13"/>
      <c r="N65" s="13"/>
      <c r="O65" s="13"/>
      <c r="P65" s="13"/>
      <c r="Q65" s="13"/>
      <c r="R65" s="13"/>
      <c r="S65" s="13"/>
      <c r="T65" s="13"/>
      <c r="U65" s="13"/>
      <c r="V65" s="14"/>
      <c r="W65" s="13"/>
      <c r="X65" s="7" t="str">
        <f aca="false">IF(D65="","",IF(AND(T65="Approved",U65&lt;&gt;"",V65&lt;&gt;""),"Ready","Not yet"))</f>
        <v/>
      </c>
      <c r="Y65" s="7" t="str">
        <f aca="false">IF(N65="","",IF(COUNTIF($N$2:$N$201,N65)&gt;1,"Shares group: never same board",""))</f>
        <v/>
      </c>
    </row>
    <row r="66" customFormat="false" ht="15" hidden="false" customHeight="true" outlineLevel="0" collapsed="false">
      <c r="A66" s="13"/>
      <c r="B66" s="13"/>
      <c r="C66" s="13"/>
      <c r="D66" s="13"/>
      <c r="E66" s="13"/>
      <c r="F66" s="13"/>
      <c r="G66" s="13"/>
      <c r="H66" s="13"/>
      <c r="I66" s="13"/>
      <c r="J66" s="13"/>
      <c r="K66" s="13"/>
      <c r="L66" s="13"/>
      <c r="M66" s="13"/>
      <c r="N66" s="13"/>
      <c r="O66" s="13"/>
      <c r="P66" s="13"/>
      <c r="Q66" s="13"/>
      <c r="R66" s="13"/>
      <c r="S66" s="13"/>
      <c r="T66" s="13"/>
      <c r="U66" s="13"/>
      <c r="V66" s="14"/>
      <c r="W66" s="13"/>
      <c r="X66" s="7" t="str">
        <f aca="false">IF(D66="","",IF(AND(T66="Approved",U66&lt;&gt;"",V66&lt;&gt;""),"Ready","Not yet"))</f>
        <v/>
      </c>
      <c r="Y66" s="7" t="str">
        <f aca="false">IF(N66="","",IF(COUNTIF($N$2:$N$201,N66)&gt;1,"Shares group: never same board",""))</f>
        <v/>
      </c>
    </row>
    <row r="67" customFormat="false" ht="15" hidden="false" customHeight="true" outlineLevel="0" collapsed="false">
      <c r="A67" s="13"/>
      <c r="B67" s="13"/>
      <c r="C67" s="13"/>
      <c r="D67" s="13"/>
      <c r="E67" s="13"/>
      <c r="F67" s="13"/>
      <c r="G67" s="13"/>
      <c r="H67" s="13"/>
      <c r="I67" s="13"/>
      <c r="J67" s="13"/>
      <c r="K67" s="13"/>
      <c r="L67" s="13"/>
      <c r="M67" s="13"/>
      <c r="N67" s="13"/>
      <c r="O67" s="13"/>
      <c r="P67" s="13"/>
      <c r="Q67" s="13"/>
      <c r="R67" s="13"/>
      <c r="S67" s="13"/>
      <c r="T67" s="13"/>
      <c r="U67" s="13"/>
      <c r="V67" s="14"/>
      <c r="W67" s="13"/>
      <c r="X67" s="7" t="str">
        <f aca="false">IF(D67="","",IF(AND(T67="Approved",U67&lt;&gt;"",V67&lt;&gt;""),"Ready","Not yet"))</f>
        <v/>
      </c>
      <c r="Y67" s="7" t="str">
        <f aca="false">IF(N67="","",IF(COUNTIF($N$2:$N$201,N67)&gt;1,"Shares group: never same board",""))</f>
        <v/>
      </c>
    </row>
    <row r="68" customFormat="false" ht="15" hidden="false" customHeight="true" outlineLevel="0" collapsed="false">
      <c r="A68" s="13"/>
      <c r="B68" s="13"/>
      <c r="C68" s="13"/>
      <c r="D68" s="13"/>
      <c r="E68" s="13"/>
      <c r="F68" s="13"/>
      <c r="G68" s="13"/>
      <c r="H68" s="13"/>
      <c r="I68" s="13"/>
      <c r="J68" s="13"/>
      <c r="K68" s="13"/>
      <c r="L68" s="13"/>
      <c r="M68" s="13"/>
      <c r="N68" s="13"/>
      <c r="O68" s="13"/>
      <c r="P68" s="13"/>
      <c r="Q68" s="13"/>
      <c r="R68" s="13"/>
      <c r="S68" s="13"/>
      <c r="T68" s="13"/>
      <c r="U68" s="13"/>
      <c r="V68" s="14"/>
      <c r="W68" s="13"/>
      <c r="X68" s="7" t="str">
        <f aca="false">IF(D68="","",IF(AND(T68="Approved",U68&lt;&gt;"",V68&lt;&gt;""),"Ready","Not yet"))</f>
        <v/>
      </c>
      <c r="Y68" s="7" t="str">
        <f aca="false">IF(N68="","",IF(COUNTIF($N$2:$N$201,N68)&gt;1,"Shares group: never same board",""))</f>
        <v/>
      </c>
    </row>
    <row r="69" customFormat="false" ht="15" hidden="false" customHeight="true" outlineLevel="0" collapsed="false">
      <c r="A69" s="13"/>
      <c r="B69" s="13"/>
      <c r="C69" s="13"/>
      <c r="D69" s="13"/>
      <c r="E69" s="13"/>
      <c r="F69" s="13"/>
      <c r="G69" s="13"/>
      <c r="H69" s="13"/>
      <c r="I69" s="13"/>
      <c r="J69" s="13"/>
      <c r="K69" s="13"/>
      <c r="L69" s="13"/>
      <c r="M69" s="13"/>
      <c r="N69" s="13"/>
      <c r="O69" s="13"/>
      <c r="P69" s="13"/>
      <c r="Q69" s="13"/>
      <c r="R69" s="13"/>
      <c r="S69" s="13"/>
      <c r="T69" s="13"/>
      <c r="U69" s="13"/>
      <c r="V69" s="14"/>
      <c r="W69" s="13"/>
      <c r="X69" s="7" t="str">
        <f aca="false">IF(D69="","",IF(AND(T69="Approved",U69&lt;&gt;"",V69&lt;&gt;""),"Ready","Not yet"))</f>
        <v/>
      </c>
      <c r="Y69" s="7" t="str">
        <f aca="false">IF(N69="","",IF(COUNTIF($N$2:$N$201,N69)&gt;1,"Shares group: never same board",""))</f>
        <v/>
      </c>
    </row>
    <row r="70" customFormat="false" ht="15" hidden="false" customHeight="true" outlineLevel="0" collapsed="false">
      <c r="A70" s="13"/>
      <c r="B70" s="13"/>
      <c r="C70" s="13"/>
      <c r="D70" s="13"/>
      <c r="E70" s="13"/>
      <c r="F70" s="13"/>
      <c r="G70" s="13"/>
      <c r="H70" s="13"/>
      <c r="I70" s="13"/>
      <c r="J70" s="13"/>
      <c r="K70" s="13"/>
      <c r="L70" s="13"/>
      <c r="M70" s="13"/>
      <c r="N70" s="13"/>
      <c r="O70" s="13"/>
      <c r="P70" s="13"/>
      <c r="Q70" s="13"/>
      <c r="R70" s="13"/>
      <c r="S70" s="13"/>
      <c r="T70" s="13"/>
      <c r="U70" s="13"/>
      <c r="V70" s="14"/>
      <c r="W70" s="13"/>
      <c r="X70" s="7" t="str">
        <f aca="false">IF(D70="","",IF(AND(T70="Approved",U70&lt;&gt;"",V70&lt;&gt;""),"Ready","Not yet"))</f>
        <v/>
      </c>
      <c r="Y70" s="7" t="str">
        <f aca="false">IF(N70="","",IF(COUNTIF($N$2:$N$201,N70)&gt;1,"Shares group: never same board",""))</f>
        <v/>
      </c>
    </row>
    <row r="71" customFormat="false" ht="15" hidden="false" customHeight="true" outlineLevel="0" collapsed="false">
      <c r="A71" s="13"/>
      <c r="B71" s="13"/>
      <c r="C71" s="13"/>
      <c r="D71" s="13"/>
      <c r="E71" s="13"/>
      <c r="F71" s="13"/>
      <c r="G71" s="13"/>
      <c r="H71" s="13"/>
      <c r="I71" s="13"/>
      <c r="J71" s="13"/>
      <c r="K71" s="13"/>
      <c r="L71" s="13"/>
      <c r="M71" s="13"/>
      <c r="N71" s="13"/>
      <c r="O71" s="13"/>
      <c r="P71" s="13"/>
      <c r="Q71" s="13"/>
      <c r="R71" s="13"/>
      <c r="S71" s="13"/>
      <c r="T71" s="13"/>
      <c r="U71" s="13"/>
      <c r="V71" s="14"/>
      <c r="W71" s="13"/>
      <c r="X71" s="7" t="str">
        <f aca="false">IF(D71="","",IF(AND(T71="Approved",U71&lt;&gt;"",V71&lt;&gt;""),"Ready","Not yet"))</f>
        <v/>
      </c>
      <c r="Y71" s="7" t="str">
        <f aca="false">IF(N71="","",IF(COUNTIF($N$2:$N$201,N71)&gt;1,"Shares group: never same board",""))</f>
        <v/>
      </c>
    </row>
    <row r="72" customFormat="false" ht="15" hidden="false" customHeight="true" outlineLevel="0" collapsed="false">
      <c r="A72" s="13"/>
      <c r="B72" s="13"/>
      <c r="C72" s="13"/>
      <c r="D72" s="13"/>
      <c r="E72" s="13"/>
      <c r="F72" s="13"/>
      <c r="G72" s="13"/>
      <c r="H72" s="13"/>
      <c r="I72" s="13"/>
      <c r="J72" s="13"/>
      <c r="K72" s="13"/>
      <c r="L72" s="13"/>
      <c r="M72" s="13"/>
      <c r="N72" s="13"/>
      <c r="O72" s="13"/>
      <c r="P72" s="13"/>
      <c r="Q72" s="13"/>
      <c r="R72" s="13"/>
      <c r="S72" s="13"/>
      <c r="T72" s="13"/>
      <c r="U72" s="13"/>
      <c r="V72" s="14"/>
      <c r="W72" s="13"/>
      <c r="X72" s="7" t="str">
        <f aca="false">IF(D72="","",IF(AND(T72="Approved",U72&lt;&gt;"",V72&lt;&gt;""),"Ready","Not yet"))</f>
        <v/>
      </c>
      <c r="Y72" s="7" t="str">
        <f aca="false">IF(N72="","",IF(COUNTIF($N$2:$N$201,N72)&gt;1,"Shares group: never same board",""))</f>
        <v/>
      </c>
    </row>
    <row r="73" customFormat="false" ht="15" hidden="false" customHeight="true" outlineLevel="0" collapsed="false">
      <c r="A73" s="13"/>
      <c r="B73" s="13"/>
      <c r="C73" s="13"/>
      <c r="D73" s="13"/>
      <c r="E73" s="13"/>
      <c r="F73" s="13"/>
      <c r="G73" s="13"/>
      <c r="H73" s="13"/>
      <c r="I73" s="13"/>
      <c r="J73" s="13"/>
      <c r="K73" s="13"/>
      <c r="L73" s="13"/>
      <c r="M73" s="13"/>
      <c r="N73" s="13"/>
      <c r="O73" s="13"/>
      <c r="P73" s="13"/>
      <c r="Q73" s="13"/>
      <c r="R73" s="13"/>
      <c r="S73" s="13"/>
      <c r="T73" s="13"/>
      <c r="U73" s="13"/>
      <c r="V73" s="14"/>
      <c r="W73" s="13"/>
      <c r="X73" s="7" t="str">
        <f aca="false">IF(D73="","",IF(AND(T73="Approved",U73&lt;&gt;"",V73&lt;&gt;""),"Ready","Not yet"))</f>
        <v/>
      </c>
      <c r="Y73" s="7" t="str">
        <f aca="false">IF(N73="","",IF(COUNTIF($N$2:$N$201,N73)&gt;1,"Shares group: never same board",""))</f>
        <v/>
      </c>
    </row>
    <row r="74" customFormat="false" ht="15" hidden="false" customHeight="true" outlineLevel="0" collapsed="false">
      <c r="A74" s="13"/>
      <c r="B74" s="13"/>
      <c r="C74" s="13"/>
      <c r="D74" s="13"/>
      <c r="E74" s="13"/>
      <c r="F74" s="13"/>
      <c r="G74" s="13"/>
      <c r="H74" s="13"/>
      <c r="I74" s="13"/>
      <c r="J74" s="13"/>
      <c r="K74" s="13"/>
      <c r="L74" s="13"/>
      <c r="M74" s="13"/>
      <c r="N74" s="13"/>
      <c r="O74" s="13"/>
      <c r="P74" s="13"/>
      <c r="Q74" s="13"/>
      <c r="R74" s="13"/>
      <c r="S74" s="13"/>
      <c r="T74" s="13"/>
      <c r="U74" s="13"/>
      <c r="V74" s="14"/>
      <c r="W74" s="13"/>
      <c r="X74" s="7" t="str">
        <f aca="false">IF(D74="","",IF(AND(T74="Approved",U74&lt;&gt;"",V74&lt;&gt;""),"Ready","Not yet"))</f>
        <v/>
      </c>
      <c r="Y74" s="7" t="str">
        <f aca="false">IF(N74="","",IF(COUNTIF($N$2:$N$201,N74)&gt;1,"Shares group: never same board",""))</f>
        <v/>
      </c>
    </row>
    <row r="75" customFormat="false" ht="15" hidden="false" customHeight="true" outlineLevel="0" collapsed="false">
      <c r="A75" s="13"/>
      <c r="B75" s="13"/>
      <c r="C75" s="13"/>
      <c r="D75" s="13"/>
      <c r="E75" s="13"/>
      <c r="F75" s="13"/>
      <c r="G75" s="13"/>
      <c r="H75" s="13"/>
      <c r="I75" s="13"/>
      <c r="J75" s="13"/>
      <c r="K75" s="13"/>
      <c r="L75" s="13"/>
      <c r="M75" s="13"/>
      <c r="N75" s="13"/>
      <c r="O75" s="13"/>
      <c r="P75" s="13"/>
      <c r="Q75" s="13"/>
      <c r="R75" s="13"/>
      <c r="S75" s="13"/>
      <c r="T75" s="13"/>
      <c r="U75" s="13"/>
      <c r="V75" s="14"/>
      <c r="W75" s="13"/>
      <c r="X75" s="7" t="str">
        <f aca="false">IF(D75="","",IF(AND(T75="Approved",U75&lt;&gt;"",V75&lt;&gt;""),"Ready","Not yet"))</f>
        <v/>
      </c>
      <c r="Y75" s="7" t="str">
        <f aca="false">IF(N75="","",IF(COUNTIF($N$2:$N$201,N75)&gt;1,"Shares group: never same board",""))</f>
        <v/>
      </c>
    </row>
    <row r="76" customFormat="false" ht="15" hidden="false" customHeight="true" outlineLevel="0" collapsed="false">
      <c r="A76" s="13"/>
      <c r="B76" s="13"/>
      <c r="C76" s="13"/>
      <c r="D76" s="13"/>
      <c r="E76" s="13"/>
      <c r="F76" s="13"/>
      <c r="G76" s="13"/>
      <c r="H76" s="13"/>
      <c r="I76" s="13"/>
      <c r="J76" s="13"/>
      <c r="K76" s="13"/>
      <c r="L76" s="13"/>
      <c r="M76" s="13"/>
      <c r="N76" s="13"/>
      <c r="O76" s="13"/>
      <c r="P76" s="13"/>
      <c r="Q76" s="13"/>
      <c r="R76" s="13"/>
      <c r="S76" s="13"/>
      <c r="T76" s="13"/>
      <c r="U76" s="13"/>
      <c r="V76" s="14"/>
      <c r="W76" s="13"/>
      <c r="X76" s="7" t="str">
        <f aca="false">IF(D76="","",IF(AND(T76="Approved",U76&lt;&gt;"",V76&lt;&gt;""),"Ready","Not yet"))</f>
        <v/>
      </c>
      <c r="Y76" s="7" t="str">
        <f aca="false">IF(N76="","",IF(COUNTIF($N$2:$N$201,N76)&gt;1,"Shares group: never same board",""))</f>
        <v/>
      </c>
    </row>
    <row r="77" customFormat="false" ht="15" hidden="false" customHeight="true" outlineLevel="0" collapsed="false">
      <c r="A77" s="13"/>
      <c r="B77" s="13"/>
      <c r="C77" s="13"/>
      <c r="D77" s="13"/>
      <c r="E77" s="13"/>
      <c r="F77" s="13"/>
      <c r="G77" s="13"/>
      <c r="H77" s="13"/>
      <c r="I77" s="13"/>
      <c r="J77" s="13"/>
      <c r="K77" s="13"/>
      <c r="L77" s="13"/>
      <c r="M77" s="13"/>
      <c r="N77" s="13"/>
      <c r="O77" s="13"/>
      <c r="P77" s="13"/>
      <c r="Q77" s="13"/>
      <c r="R77" s="13"/>
      <c r="S77" s="13"/>
      <c r="T77" s="13"/>
      <c r="U77" s="13"/>
      <c r="V77" s="14"/>
      <c r="W77" s="13"/>
      <c r="X77" s="7" t="str">
        <f aca="false">IF(D77="","",IF(AND(T77="Approved",U77&lt;&gt;"",V77&lt;&gt;""),"Ready","Not yet"))</f>
        <v/>
      </c>
      <c r="Y77" s="7" t="str">
        <f aca="false">IF(N77="","",IF(COUNTIF($N$2:$N$201,N77)&gt;1,"Shares group: never same board",""))</f>
        <v/>
      </c>
    </row>
    <row r="78" customFormat="false" ht="15" hidden="false" customHeight="true" outlineLevel="0" collapsed="false">
      <c r="A78" s="13"/>
      <c r="B78" s="13"/>
      <c r="C78" s="13"/>
      <c r="D78" s="13"/>
      <c r="E78" s="13"/>
      <c r="F78" s="13"/>
      <c r="G78" s="13"/>
      <c r="H78" s="13"/>
      <c r="I78" s="13"/>
      <c r="J78" s="13"/>
      <c r="K78" s="13"/>
      <c r="L78" s="13"/>
      <c r="M78" s="13"/>
      <c r="N78" s="13"/>
      <c r="O78" s="13"/>
      <c r="P78" s="13"/>
      <c r="Q78" s="13"/>
      <c r="R78" s="13"/>
      <c r="S78" s="13"/>
      <c r="T78" s="13"/>
      <c r="U78" s="13"/>
      <c r="V78" s="14"/>
      <c r="W78" s="13"/>
      <c r="X78" s="7" t="str">
        <f aca="false">IF(D78="","",IF(AND(T78="Approved",U78&lt;&gt;"",V78&lt;&gt;""),"Ready","Not yet"))</f>
        <v/>
      </c>
      <c r="Y78" s="7" t="str">
        <f aca="false">IF(N78="","",IF(COUNTIF($N$2:$N$201,N78)&gt;1,"Shares group: never same board",""))</f>
        <v/>
      </c>
    </row>
    <row r="79" customFormat="false" ht="15" hidden="false" customHeight="true" outlineLevel="0" collapsed="false">
      <c r="A79" s="13"/>
      <c r="B79" s="13"/>
      <c r="C79" s="13"/>
      <c r="D79" s="13"/>
      <c r="E79" s="13"/>
      <c r="F79" s="13"/>
      <c r="G79" s="13"/>
      <c r="H79" s="13"/>
      <c r="I79" s="13"/>
      <c r="J79" s="13"/>
      <c r="K79" s="13"/>
      <c r="L79" s="13"/>
      <c r="M79" s="13"/>
      <c r="N79" s="13"/>
      <c r="O79" s="13"/>
      <c r="P79" s="13"/>
      <c r="Q79" s="13"/>
      <c r="R79" s="13"/>
      <c r="S79" s="13"/>
      <c r="T79" s="13"/>
      <c r="U79" s="13"/>
      <c r="V79" s="14"/>
      <c r="W79" s="13"/>
      <c r="X79" s="7" t="str">
        <f aca="false">IF(D79="","",IF(AND(T79="Approved",U79&lt;&gt;"",V79&lt;&gt;""),"Ready","Not yet"))</f>
        <v/>
      </c>
      <c r="Y79" s="7" t="str">
        <f aca="false">IF(N79="","",IF(COUNTIF($N$2:$N$201,N79)&gt;1,"Shares group: never same board",""))</f>
        <v/>
      </c>
    </row>
    <row r="80" customFormat="false" ht="15" hidden="false" customHeight="true" outlineLevel="0" collapsed="false">
      <c r="A80" s="13"/>
      <c r="B80" s="13"/>
      <c r="C80" s="13"/>
      <c r="D80" s="13"/>
      <c r="E80" s="13"/>
      <c r="F80" s="13"/>
      <c r="G80" s="13"/>
      <c r="H80" s="13"/>
      <c r="I80" s="13"/>
      <c r="J80" s="13"/>
      <c r="K80" s="13"/>
      <c r="L80" s="13"/>
      <c r="M80" s="13"/>
      <c r="N80" s="13"/>
      <c r="O80" s="13"/>
      <c r="P80" s="13"/>
      <c r="Q80" s="13"/>
      <c r="R80" s="13"/>
      <c r="S80" s="13"/>
      <c r="T80" s="13"/>
      <c r="U80" s="13"/>
      <c r="V80" s="14"/>
      <c r="W80" s="13"/>
      <c r="X80" s="7" t="str">
        <f aca="false">IF(D80="","",IF(AND(T80="Approved",U80&lt;&gt;"",V80&lt;&gt;""),"Ready","Not yet"))</f>
        <v/>
      </c>
      <c r="Y80" s="7" t="str">
        <f aca="false">IF(N80="","",IF(COUNTIF($N$2:$N$201,N80)&gt;1,"Shares group: never same board",""))</f>
        <v/>
      </c>
    </row>
    <row r="81" customFormat="false" ht="15" hidden="false" customHeight="true" outlineLevel="0" collapsed="false">
      <c r="A81" s="13"/>
      <c r="B81" s="13"/>
      <c r="C81" s="13"/>
      <c r="D81" s="13"/>
      <c r="E81" s="13"/>
      <c r="F81" s="13"/>
      <c r="G81" s="13"/>
      <c r="H81" s="13"/>
      <c r="I81" s="13"/>
      <c r="J81" s="13"/>
      <c r="K81" s="13"/>
      <c r="L81" s="13"/>
      <c r="M81" s="13"/>
      <c r="N81" s="13"/>
      <c r="O81" s="13"/>
      <c r="P81" s="13"/>
      <c r="Q81" s="13"/>
      <c r="R81" s="13"/>
      <c r="S81" s="13"/>
      <c r="T81" s="13"/>
      <c r="U81" s="13"/>
      <c r="V81" s="14"/>
      <c r="W81" s="13"/>
      <c r="X81" s="7" t="str">
        <f aca="false">IF(D81="","",IF(AND(T81="Approved",U81&lt;&gt;"",V81&lt;&gt;""),"Ready","Not yet"))</f>
        <v/>
      </c>
      <c r="Y81" s="7" t="str">
        <f aca="false">IF(N81="","",IF(COUNTIF($N$2:$N$201,N81)&gt;1,"Shares group: never same board",""))</f>
        <v/>
      </c>
    </row>
    <row r="82" customFormat="false" ht="15" hidden="false" customHeight="true" outlineLevel="0" collapsed="false">
      <c r="A82" s="13"/>
      <c r="B82" s="13"/>
      <c r="C82" s="13"/>
      <c r="D82" s="13"/>
      <c r="E82" s="13"/>
      <c r="F82" s="13"/>
      <c r="G82" s="13"/>
      <c r="H82" s="13"/>
      <c r="I82" s="13"/>
      <c r="J82" s="13"/>
      <c r="K82" s="13"/>
      <c r="L82" s="13"/>
      <c r="M82" s="13"/>
      <c r="N82" s="13"/>
      <c r="O82" s="13"/>
      <c r="P82" s="13"/>
      <c r="Q82" s="13"/>
      <c r="R82" s="13"/>
      <c r="S82" s="13"/>
      <c r="T82" s="13"/>
      <c r="U82" s="13"/>
      <c r="V82" s="14"/>
      <c r="W82" s="13"/>
      <c r="X82" s="7" t="str">
        <f aca="false">IF(D82="","",IF(AND(T82="Approved",U82&lt;&gt;"",V82&lt;&gt;""),"Ready","Not yet"))</f>
        <v/>
      </c>
      <c r="Y82" s="7" t="str">
        <f aca="false">IF(N82="","",IF(COUNTIF($N$2:$N$201,N82)&gt;1,"Shares group: never same board",""))</f>
        <v/>
      </c>
    </row>
    <row r="83" customFormat="false" ht="15" hidden="false" customHeight="true" outlineLevel="0" collapsed="false">
      <c r="A83" s="13"/>
      <c r="B83" s="13"/>
      <c r="C83" s="13"/>
      <c r="D83" s="13"/>
      <c r="E83" s="13"/>
      <c r="F83" s="13"/>
      <c r="G83" s="13"/>
      <c r="H83" s="13"/>
      <c r="I83" s="13"/>
      <c r="J83" s="13"/>
      <c r="K83" s="13"/>
      <c r="L83" s="13"/>
      <c r="M83" s="13"/>
      <c r="N83" s="13"/>
      <c r="O83" s="13"/>
      <c r="P83" s="13"/>
      <c r="Q83" s="13"/>
      <c r="R83" s="13"/>
      <c r="S83" s="13"/>
      <c r="T83" s="13"/>
      <c r="U83" s="13"/>
      <c r="V83" s="14"/>
      <c r="W83" s="13"/>
      <c r="X83" s="7" t="str">
        <f aca="false">IF(D83="","",IF(AND(T83="Approved",U83&lt;&gt;"",V83&lt;&gt;""),"Ready","Not yet"))</f>
        <v/>
      </c>
      <c r="Y83" s="7" t="str">
        <f aca="false">IF(N83="","",IF(COUNTIF($N$2:$N$201,N83)&gt;1,"Shares group: never same board",""))</f>
        <v/>
      </c>
    </row>
    <row r="84" customFormat="false" ht="15" hidden="false" customHeight="true" outlineLevel="0" collapsed="false">
      <c r="A84" s="13"/>
      <c r="B84" s="13"/>
      <c r="C84" s="13"/>
      <c r="D84" s="13"/>
      <c r="E84" s="13"/>
      <c r="F84" s="13"/>
      <c r="G84" s="13"/>
      <c r="H84" s="13"/>
      <c r="I84" s="13"/>
      <c r="J84" s="13"/>
      <c r="K84" s="13"/>
      <c r="L84" s="13"/>
      <c r="M84" s="13"/>
      <c r="N84" s="13"/>
      <c r="O84" s="13"/>
      <c r="P84" s="13"/>
      <c r="Q84" s="13"/>
      <c r="R84" s="13"/>
      <c r="S84" s="13"/>
      <c r="T84" s="13"/>
      <c r="U84" s="13"/>
      <c r="V84" s="14"/>
      <c r="W84" s="13"/>
      <c r="X84" s="7" t="str">
        <f aca="false">IF(D84="","",IF(AND(T84="Approved",U84&lt;&gt;"",V84&lt;&gt;""),"Ready","Not yet"))</f>
        <v/>
      </c>
      <c r="Y84" s="7" t="str">
        <f aca="false">IF(N84="","",IF(COUNTIF($N$2:$N$201,N84)&gt;1,"Shares group: never same board",""))</f>
        <v/>
      </c>
    </row>
    <row r="85" customFormat="false" ht="15" hidden="false" customHeight="true" outlineLevel="0" collapsed="false">
      <c r="A85" s="13"/>
      <c r="B85" s="13"/>
      <c r="C85" s="13"/>
      <c r="D85" s="13"/>
      <c r="E85" s="13"/>
      <c r="F85" s="13"/>
      <c r="G85" s="13"/>
      <c r="H85" s="13"/>
      <c r="I85" s="13"/>
      <c r="J85" s="13"/>
      <c r="K85" s="13"/>
      <c r="L85" s="13"/>
      <c r="M85" s="13"/>
      <c r="N85" s="13"/>
      <c r="O85" s="13"/>
      <c r="P85" s="13"/>
      <c r="Q85" s="13"/>
      <c r="R85" s="13"/>
      <c r="S85" s="13"/>
      <c r="T85" s="13"/>
      <c r="U85" s="13"/>
      <c r="V85" s="14"/>
      <c r="W85" s="13"/>
      <c r="X85" s="7" t="str">
        <f aca="false">IF(D85="","",IF(AND(T85="Approved",U85&lt;&gt;"",V85&lt;&gt;""),"Ready","Not yet"))</f>
        <v/>
      </c>
      <c r="Y85" s="7" t="str">
        <f aca="false">IF(N85="","",IF(COUNTIF($N$2:$N$201,N85)&gt;1,"Shares group: never same board",""))</f>
        <v/>
      </c>
    </row>
    <row r="86" customFormat="false" ht="15" hidden="false" customHeight="true" outlineLevel="0" collapsed="false">
      <c r="A86" s="13"/>
      <c r="B86" s="13"/>
      <c r="C86" s="13"/>
      <c r="D86" s="13"/>
      <c r="E86" s="13"/>
      <c r="F86" s="13"/>
      <c r="G86" s="13"/>
      <c r="H86" s="13"/>
      <c r="I86" s="13"/>
      <c r="J86" s="13"/>
      <c r="K86" s="13"/>
      <c r="L86" s="13"/>
      <c r="M86" s="13"/>
      <c r="N86" s="13"/>
      <c r="O86" s="13"/>
      <c r="P86" s="13"/>
      <c r="Q86" s="13"/>
      <c r="R86" s="13"/>
      <c r="S86" s="13"/>
      <c r="T86" s="13"/>
      <c r="U86" s="13"/>
      <c r="V86" s="14"/>
      <c r="W86" s="13"/>
      <c r="X86" s="7" t="str">
        <f aca="false">IF(D86="","",IF(AND(T86="Approved",U86&lt;&gt;"",V86&lt;&gt;""),"Ready","Not yet"))</f>
        <v/>
      </c>
      <c r="Y86" s="7" t="str">
        <f aca="false">IF(N86="","",IF(COUNTIF($N$2:$N$201,N86)&gt;1,"Shares group: never same board",""))</f>
        <v/>
      </c>
    </row>
    <row r="87" customFormat="false" ht="15" hidden="false" customHeight="true" outlineLevel="0" collapsed="false">
      <c r="A87" s="13"/>
      <c r="B87" s="13"/>
      <c r="C87" s="13"/>
      <c r="D87" s="13"/>
      <c r="E87" s="13"/>
      <c r="F87" s="13"/>
      <c r="G87" s="13"/>
      <c r="H87" s="13"/>
      <c r="I87" s="13"/>
      <c r="J87" s="13"/>
      <c r="K87" s="13"/>
      <c r="L87" s="13"/>
      <c r="M87" s="13"/>
      <c r="N87" s="13"/>
      <c r="O87" s="13"/>
      <c r="P87" s="13"/>
      <c r="Q87" s="13"/>
      <c r="R87" s="13"/>
      <c r="S87" s="13"/>
      <c r="T87" s="13"/>
      <c r="U87" s="13"/>
      <c r="V87" s="14"/>
      <c r="W87" s="13"/>
      <c r="X87" s="7" t="str">
        <f aca="false">IF(D87="","",IF(AND(T87="Approved",U87&lt;&gt;"",V87&lt;&gt;""),"Ready","Not yet"))</f>
        <v/>
      </c>
      <c r="Y87" s="7" t="str">
        <f aca="false">IF(N87="","",IF(COUNTIF($N$2:$N$201,N87)&gt;1,"Shares group: never same board",""))</f>
        <v/>
      </c>
    </row>
    <row r="88" customFormat="false" ht="15" hidden="false" customHeight="true" outlineLevel="0" collapsed="false">
      <c r="A88" s="13"/>
      <c r="B88" s="13"/>
      <c r="C88" s="13"/>
      <c r="D88" s="13"/>
      <c r="E88" s="13"/>
      <c r="F88" s="13"/>
      <c r="G88" s="13"/>
      <c r="H88" s="13"/>
      <c r="I88" s="13"/>
      <c r="J88" s="13"/>
      <c r="K88" s="13"/>
      <c r="L88" s="13"/>
      <c r="M88" s="13"/>
      <c r="N88" s="13"/>
      <c r="O88" s="13"/>
      <c r="P88" s="13"/>
      <c r="Q88" s="13"/>
      <c r="R88" s="13"/>
      <c r="S88" s="13"/>
      <c r="T88" s="13"/>
      <c r="U88" s="13"/>
      <c r="V88" s="14"/>
      <c r="W88" s="13"/>
      <c r="X88" s="7" t="str">
        <f aca="false">IF(D88="","",IF(AND(T88="Approved",U88&lt;&gt;"",V88&lt;&gt;""),"Ready","Not yet"))</f>
        <v/>
      </c>
      <c r="Y88" s="7" t="str">
        <f aca="false">IF(N88="","",IF(COUNTIF($N$2:$N$201,N88)&gt;1,"Shares group: never same board",""))</f>
        <v/>
      </c>
    </row>
    <row r="89" customFormat="false" ht="15" hidden="false" customHeight="true" outlineLevel="0" collapsed="false">
      <c r="A89" s="13"/>
      <c r="B89" s="13"/>
      <c r="C89" s="13"/>
      <c r="D89" s="13"/>
      <c r="E89" s="13"/>
      <c r="F89" s="13"/>
      <c r="G89" s="13"/>
      <c r="H89" s="13"/>
      <c r="I89" s="13"/>
      <c r="J89" s="13"/>
      <c r="K89" s="13"/>
      <c r="L89" s="13"/>
      <c r="M89" s="13"/>
      <c r="N89" s="13"/>
      <c r="O89" s="13"/>
      <c r="P89" s="13"/>
      <c r="Q89" s="13"/>
      <c r="R89" s="13"/>
      <c r="S89" s="13"/>
      <c r="T89" s="13"/>
      <c r="U89" s="13"/>
      <c r="V89" s="14"/>
      <c r="W89" s="13"/>
      <c r="X89" s="7" t="str">
        <f aca="false">IF(D89="","",IF(AND(T89="Approved",U89&lt;&gt;"",V89&lt;&gt;""),"Ready","Not yet"))</f>
        <v/>
      </c>
      <c r="Y89" s="7" t="str">
        <f aca="false">IF(N89="","",IF(COUNTIF($N$2:$N$201,N89)&gt;1,"Shares group: never same board",""))</f>
        <v/>
      </c>
    </row>
    <row r="90" customFormat="false" ht="15" hidden="false" customHeight="true" outlineLevel="0" collapsed="false">
      <c r="A90" s="13"/>
      <c r="B90" s="13"/>
      <c r="C90" s="13"/>
      <c r="D90" s="13"/>
      <c r="E90" s="13"/>
      <c r="F90" s="13"/>
      <c r="G90" s="13"/>
      <c r="H90" s="13"/>
      <c r="I90" s="13"/>
      <c r="J90" s="13"/>
      <c r="K90" s="13"/>
      <c r="L90" s="13"/>
      <c r="M90" s="13"/>
      <c r="N90" s="13"/>
      <c r="O90" s="13"/>
      <c r="P90" s="13"/>
      <c r="Q90" s="13"/>
      <c r="R90" s="13"/>
      <c r="S90" s="13"/>
      <c r="T90" s="13"/>
      <c r="U90" s="13"/>
      <c r="V90" s="14"/>
      <c r="W90" s="13"/>
      <c r="X90" s="7" t="str">
        <f aca="false">IF(D90="","",IF(AND(T90="Approved",U90&lt;&gt;"",V90&lt;&gt;""),"Ready","Not yet"))</f>
        <v/>
      </c>
      <c r="Y90" s="7" t="str">
        <f aca="false">IF(N90="","",IF(COUNTIF($N$2:$N$201,N90)&gt;1,"Shares group: never same board",""))</f>
        <v/>
      </c>
    </row>
    <row r="91" customFormat="false" ht="15" hidden="false" customHeight="true" outlineLevel="0" collapsed="false">
      <c r="A91" s="13"/>
      <c r="B91" s="13"/>
      <c r="C91" s="13"/>
      <c r="D91" s="13"/>
      <c r="E91" s="13"/>
      <c r="F91" s="13"/>
      <c r="G91" s="13"/>
      <c r="H91" s="13"/>
      <c r="I91" s="13"/>
      <c r="J91" s="13"/>
      <c r="K91" s="13"/>
      <c r="L91" s="13"/>
      <c r="M91" s="13"/>
      <c r="N91" s="13"/>
      <c r="O91" s="13"/>
      <c r="P91" s="13"/>
      <c r="Q91" s="13"/>
      <c r="R91" s="13"/>
      <c r="S91" s="13"/>
      <c r="T91" s="13"/>
      <c r="U91" s="13"/>
      <c r="V91" s="14"/>
      <c r="W91" s="13"/>
      <c r="X91" s="7" t="str">
        <f aca="false">IF(D91="","",IF(AND(T91="Approved",U91&lt;&gt;"",V91&lt;&gt;""),"Ready","Not yet"))</f>
        <v/>
      </c>
      <c r="Y91" s="7" t="str">
        <f aca="false">IF(N91="","",IF(COUNTIF($N$2:$N$201,N91)&gt;1,"Shares group: never same board",""))</f>
        <v/>
      </c>
    </row>
    <row r="92" customFormat="false" ht="15" hidden="false" customHeight="true" outlineLevel="0" collapsed="false">
      <c r="A92" s="13"/>
      <c r="B92" s="13"/>
      <c r="C92" s="13"/>
      <c r="D92" s="13"/>
      <c r="E92" s="13"/>
      <c r="F92" s="13"/>
      <c r="G92" s="13"/>
      <c r="H92" s="13"/>
      <c r="I92" s="13"/>
      <c r="J92" s="13"/>
      <c r="K92" s="13"/>
      <c r="L92" s="13"/>
      <c r="M92" s="13"/>
      <c r="N92" s="13"/>
      <c r="O92" s="13"/>
      <c r="P92" s="13"/>
      <c r="Q92" s="13"/>
      <c r="R92" s="13"/>
      <c r="S92" s="13"/>
      <c r="T92" s="13"/>
      <c r="U92" s="13"/>
      <c r="V92" s="14"/>
      <c r="W92" s="13"/>
      <c r="X92" s="7" t="str">
        <f aca="false">IF(D92="","",IF(AND(T92="Approved",U92&lt;&gt;"",V92&lt;&gt;""),"Ready","Not yet"))</f>
        <v/>
      </c>
      <c r="Y92" s="7" t="str">
        <f aca="false">IF(N92="","",IF(COUNTIF($N$2:$N$201,N92)&gt;1,"Shares group: never same board",""))</f>
        <v/>
      </c>
    </row>
    <row r="93" customFormat="false" ht="15" hidden="false" customHeight="true" outlineLevel="0" collapsed="false">
      <c r="A93" s="13"/>
      <c r="B93" s="13"/>
      <c r="C93" s="13"/>
      <c r="D93" s="13"/>
      <c r="E93" s="13"/>
      <c r="F93" s="13"/>
      <c r="G93" s="13"/>
      <c r="H93" s="13"/>
      <c r="I93" s="13"/>
      <c r="J93" s="13"/>
      <c r="K93" s="13"/>
      <c r="L93" s="13"/>
      <c r="M93" s="13"/>
      <c r="N93" s="13"/>
      <c r="O93" s="13"/>
      <c r="P93" s="13"/>
      <c r="Q93" s="13"/>
      <c r="R93" s="13"/>
      <c r="S93" s="13"/>
      <c r="T93" s="13"/>
      <c r="U93" s="13"/>
      <c r="V93" s="14"/>
      <c r="W93" s="13"/>
      <c r="X93" s="7" t="str">
        <f aca="false">IF(D93="","",IF(AND(T93="Approved",U93&lt;&gt;"",V93&lt;&gt;""),"Ready","Not yet"))</f>
        <v/>
      </c>
      <c r="Y93" s="7" t="str">
        <f aca="false">IF(N93="","",IF(COUNTIF($N$2:$N$201,N93)&gt;1,"Shares group: never same board",""))</f>
        <v/>
      </c>
    </row>
    <row r="94" customFormat="false" ht="15" hidden="false" customHeight="true" outlineLevel="0" collapsed="false">
      <c r="A94" s="13"/>
      <c r="B94" s="13"/>
      <c r="C94" s="13"/>
      <c r="D94" s="13"/>
      <c r="E94" s="13"/>
      <c r="F94" s="13"/>
      <c r="G94" s="13"/>
      <c r="H94" s="13"/>
      <c r="I94" s="13"/>
      <c r="J94" s="13"/>
      <c r="K94" s="13"/>
      <c r="L94" s="13"/>
      <c r="M94" s="13"/>
      <c r="N94" s="13"/>
      <c r="O94" s="13"/>
      <c r="P94" s="13"/>
      <c r="Q94" s="13"/>
      <c r="R94" s="13"/>
      <c r="S94" s="13"/>
      <c r="T94" s="13"/>
      <c r="U94" s="13"/>
      <c r="V94" s="14"/>
      <c r="W94" s="13"/>
      <c r="X94" s="7" t="str">
        <f aca="false">IF(D94="","",IF(AND(T94="Approved",U94&lt;&gt;"",V94&lt;&gt;""),"Ready","Not yet"))</f>
        <v/>
      </c>
      <c r="Y94" s="7" t="str">
        <f aca="false">IF(N94="","",IF(COUNTIF($N$2:$N$201,N94)&gt;1,"Shares group: never same board",""))</f>
        <v/>
      </c>
    </row>
    <row r="95" customFormat="false" ht="15" hidden="false" customHeight="true" outlineLevel="0" collapsed="false">
      <c r="A95" s="13"/>
      <c r="B95" s="13"/>
      <c r="C95" s="13"/>
      <c r="D95" s="13"/>
      <c r="E95" s="13"/>
      <c r="F95" s="13"/>
      <c r="G95" s="13"/>
      <c r="H95" s="13"/>
      <c r="I95" s="13"/>
      <c r="J95" s="13"/>
      <c r="K95" s="13"/>
      <c r="L95" s="13"/>
      <c r="M95" s="13"/>
      <c r="N95" s="13"/>
      <c r="O95" s="13"/>
      <c r="P95" s="13"/>
      <c r="Q95" s="13"/>
      <c r="R95" s="13"/>
      <c r="S95" s="13"/>
      <c r="T95" s="13"/>
      <c r="U95" s="13"/>
      <c r="V95" s="14"/>
      <c r="W95" s="13"/>
      <c r="X95" s="7" t="str">
        <f aca="false">IF(D95="","",IF(AND(T95="Approved",U95&lt;&gt;"",V95&lt;&gt;""),"Ready","Not yet"))</f>
        <v/>
      </c>
      <c r="Y95" s="7" t="str">
        <f aca="false">IF(N95="","",IF(COUNTIF($N$2:$N$201,N95)&gt;1,"Shares group: never same board",""))</f>
        <v/>
      </c>
    </row>
    <row r="96" customFormat="false" ht="15" hidden="false" customHeight="true" outlineLevel="0" collapsed="false">
      <c r="A96" s="13"/>
      <c r="B96" s="13"/>
      <c r="C96" s="13"/>
      <c r="D96" s="13"/>
      <c r="E96" s="13"/>
      <c r="F96" s="13"/>
      <c r="G96" s="13"/>
      <c r="H96" s="13"/>
      <c r="I96" s="13"/>
      <c r="J96" s="13"/>
      <c r="K96" s="13"/>
      <c r="L96" s="13"/>
      <c r="M96" s="13"/>
      <c r="N96" s="13"/>
      <c r="O96" s="13"/>
      <c r="P96" s="13"/>
      <c r="Q96" s="13"/>
      <c r="R96" s="13"/>
      <c r="S96" s="13"/>
      <c r="T96" s="13"/>
      <c r="U96" s="13"/>
      <c r="V96" s="14"/>
      <c r="W96" s="13"/>
      <c r="X96" s="7" t="str">
        <f aca="false">IF(D96="","",IF(AND(T96="Approved",U96&lt;&gt;"",V96&lt;&gt;""),"Ready","Not yet"))</f>
        <v/>
      </c>
      <c r="Y96" s="7" t="str">
        <f aca="false">IF(N96="","",IF(COUNTIF($N$2:$N$201,N96)&gt;1,"Shares group: never same board",""))</f>
        <v/>
      </c>
    </row>
    <row r="97" customFormat="false" ht="15" hidden="false" customHeight="true" outlineLevel="0" collapsed="false">
      <c r="A97" s="13"/>
      <c r="B97" s="13"/>
      <c r="C97" s="13"/>
      <c r="D97" s="13"/>
      <c r="E97" s="13"/>
      <c r="F97" s="13"/>
      <c r="G97" s="13"/>
      <c r="H97" s="13"/>
      <c r="I97" s="13"/>
      <c r="J97" s="13"/>
      <c r="K97" s="13"/>
      <c r="L97" s="13"/>
      <c r="M97" s="13"/>
      <c r="N97" s="13"/>
      <c r="O97" s="13"/>
      <c r="P97" s="13"/>
      <c r="Q97" s="13"/>
      <c r="R97" s="13"/>
      <c r="S97" s="13"/>
      <c r="T97" s="13"/>
      <c r="U97" s="13"/>
      <c r="V97" s="14"/>
      <c r="W97" s="13"/>
      <c r="X97" s="7" t="str">
        <f aca="false">IF(D97="","",IF(AND(T97="Approved",U97&lt;&gt;"",V97&lt;&gt;""),"Ready","Not yet"))</f>
        <v/>
      </c>
      <c r="Y97" s="7" t="str">
        <f aca="false">IF(N97="","",IF(COUNTIF($N$2:$N$201,N97)&gt;1,"Shares group: never same board",""))</f>
        <v/>
      </c>
    </row>
    <row r="98" customFormat="false" ht="15" hidden="false" customHeight="true" outlineLevel="0" collapsed="false">
      <c r="A98" s="13"/>
      <c r="B98" s="13"/>
      <c r="C98" s="13"/>
      <c r="D98" s="13"/>
      <c r="E98" s="13"/>
      <c r="F98" s="13"/>
      <c r="G98" s="13"/>
      <c r="H98" s="13"/>
      <c r="I98" s="13"/>
      <c r="J98" s="13"/>
      <c r="K98" s="13"/>
      <c r="L98" s="13"/>
      <c r="M98" s="13"/>
      <c r="N98" s="13"/>
      <c r="O98" s="13"/>
      <c r="P98" s="13"/>
      <c r="Q98" s="13"/>
      <c r="R98" s="13"/>
      <c r="S98" s="13"/>
      <c r="T98" s="13"/>
      <c r="U98" s="13"/>
      <c r="V98" s="14"/>
      <c r="W98" s="13"/>
      <c r="X98" s="7" t="str">
        <f aca="false">IF(D98="","",IF(AND(T98="Approved",U98&lt;&gt;"",V98&lt;&gt;""),"Ready","Not yet"))</f>
        <v/>
      </c>
      <c r="Y98" s="7" t="str">
        <f aca="false">IF(N98="","",IF(COUNTIF($N$2:$N$201,N98)&gt;1,"Shares group: never same board",""))</f>
        <v/>
      </c>
    </row>
    <row r="99" customFormat="false" ht="15" hidden="false" customHeight="true" outlineLevel="0" collapsed="false">
      <c r="A99" s="13"/>
      <c r="B99" s="13"/>
      <c r="C99" s="13"/>
      <c r="D99" s="13"/>
      <c r="E99" s="13"/>
      <c r="F99" s="13"/>
      <c r="G99" s="13"/>
      <c r="H99" s="13"/>
      <c r="I99" s="13"/>
      <c r="J99" s="13"/>
      <c r="K99" s="13"/>
      <c r="L99" s="13"/>
      <c r="M99" s="13"/>
      <c r="N99" s="13"/>
      <c r="O99" s="13"/>
      <c r="P99" s="13"/>
      <c r="Q99" s="13"/>
      <c r="R99" s="13"/>
      <c r="S99" s="13"/>
      <c r="T99" s="13"/>
      <c r="U99" s="13"/>
      <c r="V99" s="14"/>
      <c r="W99" s="13"/>
      <c r="X99" s="7" t="str">
        <f aca="false">IF(D99="","",IF(AND(T99="Approved",U99&lt;&gt;"",V99&lt;&gt;""),"Ready","Not yet"))</f>
        <v/>
      </c>
      <c r="Y99" s="7" t="str">
        <f aca="false">IF(N99="","",IF(COUNTIF($N$2:$N$201,N99)&gt;1,"Shares group: never same board",""))</f>
        <v/>
      </c>
    </row>
    <row r="100" customFormat="false" ht="15" hidden="false" customHeight="true" outlineLevel="0" collapsed="false">
      <c r="A100" s="13"/>
      <c r="B100" s="13"/>
      <c r="C100" s="13"/>
      <c r="D100" s="13"/>
      <c r="E100" s="13"/>
      <c r="F100" s="13"/>
      <c r="G100" s="13"/>
      <c r="H100" s="13"/>
      <c r="I100" s="13"/>
      <c r="J100" s="13"/>
      <c r="K100" s="13"/>
      <c r="L100" s="13"/>
      <c r="M100" s="13"/>
      <c r="N100" s="13"/>
      <c r="O100" s="13"/>
      <c r="P100" s="13"/>
      <c r="Q100" s="13"/>
      <c r="R100" s="13"/>
      <c r="S100" s="13"/>
      <c r="T100" s="13"/>
      <c r="U100" s="13"/>
      <c r="V100" s="14"/>
      <c r="W100" s="13"/>
      <c r="X100" s="7" t="str">
        <f aca="false">IF(D100="","",IF(AND(T100="Approved",U100&lt;&gt;"",V100&lt;&gt;""),"Ready","Not yet"))</f>
        <v/>
      </c>
      <c r="Y100" s="7" t="str">
        <f aca="false">IF(N100="","",IF(COUNTIF($N$2:$N$201,N100)&gt;1,"Shares group: never same board",""))</f>
        <v/>
      </c>
    </row>
    <row r="101" customFormat="false" ht="15" hidden="false" customHeight="true" outlineLevel="0" collapsed="false">
      <c r="A101" s="13"/>
      <c r="B101" s="13"/>
      <c r="C101" s="13"/>
      <c r="D101" s="13"/>
      <c r="E101" s="13"/>
      <c r="F101" s="13"/>
      <c r="G101" s="13"/>
      <c r="H101" s="13"/>
      <c r="I101" s="13"/>
      <c r="J101" s="13"/>
      <c r="K101" s="13"/>
      <c r="L101" s="13"/>
      <c r="M101" s="13"/>
      <c r="N101" s="13"/>
      <c r="O101" s="13"/>
      <c r="P101" s="13"/>
      <c r="Q101" s="13"/>
      <c r="R101" s="13"/>
      <c r="S101" s="13"/>
      <c r="T101" s="13"/>
      <c r="U101" s="13"/>
      <c r="V101" s="14"/>
      <c r="W101" s="13"/>
      <c r="X101" s="7" t="str">
        <f aca="false">IF(D101="","",IF(AND(T101="Approved",U101&lt;&gt;"",V101&lt;&gt;""),"Ready","Not yet"))</f>
        <v/>
      </c>
      <c r="Y101" s="7" t="str">
        <f aca="false">IF(N101="","",IF(COUNTIF($N$2:$N$201,N101)&gt;1,"Shares group: never same board",""))</f>
        <v/>
      </c>
    </row>
    <row r="102" customFormat="false" ht="15" hidden="false" customHeight="true" outlineLevel="0" collapsed="false">
      <c r="A102" s="13"/>
      <c r="B102" s="13"/>
      <c r="C102" s="13"/>
      <c r="D102" s="13"/>
      <c r="E102" s="13"/>
      <c r="F102" s="13"/>
      <c r="G102" s="13"/>
      <c r="H102" s="13"/>
      <c r="I102" s="13"/>
      <c r="J102" s="13"/>
      <c r="K102" s="13"/>
      <c r="L102" s="13"/>
      <c r="M102" s="13"/>
      <c r="N102" s="13"/>
      <c r="O102" s="13"/>
      <c r="P102" s="13"/>
      <c r="Q102" s="13"/>
      <c r="R102" s="13"/>
      <c r="S102" s="13"/>
      <c r="T102" s="13"/>
      <c r="U102" s="13"/>
      <c r="V102" s="14"/>
      <c r="W102" s="13"/>
      <c r="X102" s="7" t="str">
        <f aca="false">IF(D102="","",IF(AND(T102="Approved",U102&lt;&gt;"",V102&lt;&gt;""),"Ready","Not yet"))</f>
        <v/>
      </c>
      <c r="Y102" s="7" t="str">
        <f aca="false">IF(N102="","",IF(COUNTIF($N$2:$N$201,N102)&gt;1,"Shares group: never same board",""))</f>
        <v/>
      </c>
    </row>
    <row r="103" customFormat="false" ht="15" hidden="false" customHeight="true" outlineLevel="0" collapsed="false">
      <c r="A103" s="13"/>
      <c r="B103" s="13"/>
      <c r="C103" s="13"/>
      <c r="D103" s="13"/>
      <c r="E103" s="13"/>
      <c r="F103" s="13"/>
      <c r="G103" s="13"/>
      <c r="H103" s="13"/>
      <c r="I103" s="13"/>
      <c r="J103" s="13"/>
      <c r="K103" s="13"/>
      <c r="L103" s="13"/>
      <c r="M103" s="13"/>
      <c r="N103" s="13"/>
      <c r="O103" s="13"/>
      <c r="P103" s="13"/>
      <c r="Q103" s="13"/>
      <c r="R103" s="13"/>
      <c r="S103" s="13"/>
      <c r="T103" s="13"/>
      <c r="U103" s="13"/>
      <c r="V103" s="14"/>
      <c r="W103" s="13"/>
      <c r="X103" s="7" t="str">
        <f aca="false">IF(D103="","",IF(AND(T103="Approved",U103&lt;&gt;"",V103&lt;&gt;""),"Ready","Not yet"))</f>
        <v/>
      </c>
      <c r="Y103" s="7" t="str">
        <f aca="false">IF(N103="","",IF(COUNTIF($N$2:$N$201,N103)&gt;1,"Shares group: never same board",""))</f>
        <v/>
      </c>
    </row>
    <row r="104" customFormat="false" ht="15" hidden="false" customHeight="true" outlineLevel="0" collapsed="false">
      <c r="A104" s="13"/>
      <c r="B104" s="13"/>
      <c r="C104" s="13"/>
      <c r="D104" s="13"/>
      <c r="E104" s="13"/>
      <c r="F104" s="13"/>
      <c r="G104" s="13"/>
      <c r="H104" s="13"/>
      <c r="I104" s="13"/>
      <c r="J104" s="13"/>
      <c r="K104" s="13"/>
      <c r="L104" s="13"/>
      <c r="M104" s="13"/>
      <c r="N104" s="13"/>
      <c r="O104" s="13"/>
      <c r="P104" s="13"/>
      <c r="Q104" s="13"/>
      <c r="R104" s="13"/>
      <c r="S104" s="13"/>
      <c r="T104" s="13"/>
      <c r="U104" s="13"/>
      <c r="V104" s="14"/>
      <c r="W104" s="13"/>
      <c r="X104" s="7" t="str">
        <f aca="false">IF(D104="","",IF(AND(T104="Approved",U104&lt;&gt;"",V104&lt;&gt;""),"Ready","Not yet"))</f>
        <v/>
      </c>
      <c r="Y104" s="7" t="str">
        <f aca="false">IF(N104="","",IF(COUNTIF($N$2:$N$201,N104)&gt;1,"Shares group: never same board",""))</f>
        <v/>
      </c>
    </row>
    <row r="105" customFormat="false" ht="15" hidden="false" customHeight="true" outlineLevel="0" collapsed="false">
      <c r="A105" s="13"/>
      <c r="B105" s="13"/>
      <c r="C105" s="13"/>
      <c r="D105" s="13"/>
      <c r="E105" s="13"/>
      <c r="F105" s="13"/>
      <c r="G105" s="13"/>
      <c r="H105" s="13"/>
      <c r="I105" s="13"/>
      <c r="J105" s="13"/>
      <c r="K105" s="13"/>
      <c r="L105" s="13"/>
      <c r="M105" s="13"/>
      <c r="N105" s="13"/>
      <c r="O105" s="13"/>
      <c r="P105" s="13"/>
      <c r="Q105" s="13"/>
      <c r="R105" s="13"/>
      <c r="S105" s="13"/>
      <c r="T105" s="13"/>
      <c r="U105" s="13"/>
      <c r="V105" s="14"/>
      <c r="W105" s="13"/>
      <c r="X105" s="7" t="str">
        <f aca="false">IF(D105="","",IF(AND(T105="Approved",U105&lt;&gt;"",V105&lt;&gt;""),"Ready","Not yet"))</f>
        <v/>
      </c>
      <c r="Y105" s="7" t="str">
        <f aca="false">IF(N105="","",IF(COUNTIF($N$2:$N$201,N105)&gt;1,"Shares group: never same board",""))</f>
        <v/>
      </c>
    </row>
    <row r="106" customFormat="false" ht="15" hidden="false" customHeight="true" outlineLevel="0" collapsed="false">
      <c r="A106" s="13"/>
      <c r="B106" s="13"/>
      <c r="C106" s="13"/>
      <c r="D106" s="13"/>
      <c r="E106" s="13"/>
      <c r="F106" s="13"/>
      <c r="G106" s="13"/>
      <c r="H106" s="13"/>
      <c r="I106" s="13"/>
      <c r="J106" s="13"/>
      <c r="K106" s="13"/>
      <c r="L106" s="13"/>
      <c r="M106" s="13"/>
      <c r="N106" s="13"/>
      <c r="O106" s="13"/>
      <c r="P106" s="13"/>
      <c r="Q106" s="13"/>
      <c r="R106" s="13"/>
      <c r="S106" s="13"/>
      <c r="T106" s="13"/>
      <c r="U106" s="13"/>
      <c r="V106" s="14"/>
      <c r="W106" s="13"/>
      <c r="X106" s="7" t="str">
        <f aca="false">IF(D106="","",IF(AND(T106="Approved",U106&lt;&gt;"",V106&lt;&gt;""),"Ready","Not yet"))</f>
        <v/>
      </c>
      <c r="Y106" s="7" t="str">
        <f aca="false">IF(N106="","",IF(COUNTIF($N$2:$N$201,N106)&gt;1,"Shares group: never same board",""))</f>
        <v/>
      </c>
    </row>
    <row r="107" customFormat="false" ht="15" hidden="false" customHeight="true" outlineLevel="0" collapsed="false">
      <c r="A107" s="13"/>
      <c r="B107" s="13"/>
      <c r="C107" s="13"/>
      <c r="D107" s="13"/>
      <c r="E107" s="13"/>
      <c r="F107" s="13"/>
      <c r="G107" s="13"/>
      <c r="H107" s="13"/>
      <c r="I107" s="13"/>
      <c r="J107" s="13"/>
      <c r="K107" s="13"/>
      <c r="L107" s="13"/>
      <c r="M107" s="13"/>
      <c r="N107" s="13"/>
      <c r="O107" s="13"/>
      <c r="P107" s="13"/>
      <c r="Q107" s="13"/>
      <c r="R107" s="13"/>
      <c r="S107" s="13"/>
      <c r="T107" s="13"/>
      <c r="U107" s="13"/>
      <c r="V107" s="14"/>
      <c r="W107" s="13"/>
      <c r="X107" s="7" t="str">
        <f aca="false">IF(D107="","",IF(AND(T107="Approved",U107&lt;&gt;"",V107&lt;&gt;""),"Ready","Not yet"))</f>
        <v/>
      </c>
      <c r="Y107" s="7" t="str">
        <f aca="false">IF(N107="","",IF(COUNTIF($N$2:$N$201,N107)&gt;1,"Shares group: never same board",""))</f>
        <v/>
      </c>
    </row>
    <row r="108" customFormat="false" ht="15" hidden="false" customHeight="true" outlineLevel="0" collapsed="false">
      <c r="A108" s="13"/>
      <c r="B108" s="13"/>
      <c r="C108" s="13"/>
      <c r="D108" s="13"/>
      <c r="E108" s="13"/>
      <c r="F108" s="13"/>
      <c r="G108" s="13"/>
      <c r="H108" s="13"/>
      <c r="I108" s="13"/>
      <c r="J108" s="13"/>
      <c r="K108" s="13"/>
      <c r="L108" s="13"/>
      <c r="M108" s="13"/>
      <c r="N108" s="13"/>
      <c r="O108" s="13"/>
      <c r="P108" s="13"/>
      <c r="Q108" s="13"/>
      <c r="R108" s="13"/>
      <c r="S108" s="13"/>
      <c r="T108" s="13"/>
      <c r="U108" s="13"/>
      <c r="V108" s="14"/>
      <c r="W108" s="13"/>
      <c r="X108" s="7" t="str">
        <f aca="false">IF(D108="","",IF(AND(T108="Approved",U108&lt;&gt;"",V108&lt;&gt;""),"Ready","Not yet"))</f>
        <v/>
      </c>
      <c r="Y108" s="7" t="str">
        <f aca="false">IF(N108="","",IF(COUNTIF($N$2:$N$201,N108)&gt;1,"Shares group: never same board",""))</f>
        <v/>
      </c>
    </row>
    <row r="109" customFormat="false" ht="15" hidden="false" customHeight="true" outlineLevel="0" collapsed="false">
      <c r="A109" s="13"/>
      <c r="B109" s="13"/>
      <c r="C109" s="13"/>
      <c r="D109" s="13"/>
      <c r="E109" s="13"/>
      <c r="F109" s="13"/>
      <c r="G109" s="13"/>
      <c r="H109" s="13"/>
      <c r="I109" s="13"/>
      <c r="J109" s="13"/>
      <c r="K109" s="13"/>
      <c r="L109" s="13"/>
      <c r="M109" s="13"/>
      <c r="N109" s="13"/>
      <c r="O109" s="13"/>
      <c r="P109" s="13"/>
      <c r="Q109" s="13"/>
      <c r="R109" s="13"/>
      <c r="S109" s="13"/>
      <c r="T109" s="13"/>
      <c r="U109" s="13"/>
      <c r="V109" s="14"/>
      <c r="W109" s="13"/>
      <c r="X109" s="7" t="str">
        <f aca="false">IF(D109="","",IF(AND(T109="Approved",U109&lt;&gt;"",V109&lt;&gt;""),"Ready","Not yet"))</f>
        <v/>
      </c>
      <c r="Y109" s="7" t="str">
        <f aca="false">IF(N109="","",IF(COUNTIF($N$2:$N$201,N109)&gt;1,"Shares group: never same board",""))</f>
        <v/>
      </c>
    </row>
    <row r="110" customFormat="false" ht="15" hidden="false" customHeight="true" outlineLevel="0" collapsed="false">
      <c r="A110" s="13"/>
      <c r="B110" s="13"/>
      <c r="C110" s="13"/>
      <c r="D110" s="13"/>
      <c r="E110" s="13"/>
      <c r="F110" s="13"/>
      <c r="G110" s="13"/>
      <c r="H110" s="13"/>
      <c r="I110" s="13"/>
      <c r="J110" s="13"/>
      <c r="K110" s="13"/>
      <c r="L110" s="13"/>
      <c r="M110" s="13"/>
      <c r="N110" s="13"/>
      <c r="O110" s="13"/>
      <c r="P110" s="13"/>
      <c r="Q110" s="13"/>
      <c r="R110" s="13"/>
      <c r="S110" s="13"/>
      <c r="T110" s="13"/>
      <c r="U110" s="13"/>
      <c r="V110" s="14"/>
      <c r="W110" s="13"/>
      <c r="X110" s="7" t="str">
        <f aca="false">IF(D110="","",IF(AND(T110="Approved",U110&lt;&gt;"",V110&lt;&gt;""),"Ready","Not yet"))</f>
        <v/>
      </c>
      <c r="Y110" s="7" t="str">
        <f aca="false">IF(N110="","",IF(COUNTIF($N$2:$N$201,N110)&gt;1,"Shares group: never same board",""))</f>
        <v/>
      </c>
    </row>
    <row r="111" customFormat="false" ht="15" hidden="false" customHeight="true" outlineLevel="0" collapsed="false">
      <c r="A111" s="13"/>
      <c r="B111" s="13"/>
      <c r="C111" s="13"/>
      <c r="D111" s="13"/>
      <c r="E111" s="13"/>
      <c r="F111" s="13"/>
      <c r="G111" s="13"/>
      <c r="H111" s="13"/>
      <c r="I111" s="13"/>
      <c r="J111" s="13"/>
      <c r="K111" s="13"/>
      <c r="L111" s="13"/>
      <c r="M111" s="13"/>
      <c r="N111" s="13"/>
      <c r="O111" s="13"/>
      <c r="P111" s="13"/>
      <c r="Q111" s="13"/>
      <c r="R111" s="13"/>
      <c r="S111" s="13"/>
      <c r="T111" s="13"/>
      <c r="U111" s="13"/>
      <c r="V111" s="14"/>
      <c r="W111" s="13"/>
      <c r="X111" s="7" t="str">
        <f aca="false">IF(D111="","",IF(AND(T111="Approved",U111&lt;&gt;"",V111&lt;&gt;""),"Ready","Not yet"))</f>
        <v/>
      </c>
      <c r="Y111" s="7" t="str">
        <f aca="false">IF(N111="","",IF(COUNTIF($N$2:$N$201,N111)&gt;1,"Shares group: never same board",""))</f>
        <v/>
      </c>
    </row>
    <row r="112" customFormat="false" ht="15" hidden="false" customHeight="true" outlineLevel="0" collapsed="false">
      <c r="A112" s="13"/>
      <c r="B112" s="13"/>
      <c r="C112" s="13"/>
      <c r="D112" s="13"/>
      <c r="E112" s="13"/>
      <c r="F112" s="13"/>
      <c r="G112" s="13"/>
      <c r="H112" s="13"/>
      <c r="I112" s="13"/>
      <c r="J112" s="13"/>
      <c r="K112" s="13"/>
      <c r="L112" s="13"/>
      <c r="M112" s="13"/>
      <c r="N112" s="13"/>
      <c r="O112" s="13"/>
      <c r="P112" s="13"/>
      <c r="Q112" s="13"/>
      <c r="R112" s="13"/>
      <c r="S112" s="13"/>
      <c r="T112" s="13"/>
      <c r="U112" s="13"/>
      <c r="V112" s="14"/>
      <c r="W112" s="13"/>
      <c r="X112" s="7" t="str">
        <f aca="false">IF(D112="","",IF(AND(T112="Approved",U112&lt;&gt;"",V112&lt;&gt;""),"Ready","Not yet"))</f>
        <v/>
      </c>
      <c r="Y112" s="7" t="str">
        <f aca="false">IF(N112="","",IF(COUNTIF($N$2:$N$201,N112)&gt;1,"Shares group: never same board",""))</f>
        <v/>
      </c>
    </row>
    <row r="113" customFormat="false" ht="15" hidden="false" customHeight="true" outlineLevel="0" collapsed="false">
      <c r="A113" s="13"/>
      <c r="B113" s="13"/>
      <c r="C113" s="13"/>
      <c r="D113" s="13"/>
      <c r="E113" s="13"/>
      <c r="F113" s="13"/>
      <c r="G113" s="13"/>
      <c r="H113" s="13"/>
      <c r="I113" s="13"/>
      <c r="J113" s="13"/>
      <c r="K113" s="13"/>
      <c r="L113" s="13"/>
      <c r="M113" s="13"/>
      <c r="N113" s="13"/>
      <c r="O113" s="13"/>
      <c r="P113" s="13"/>
      <c r="Q113" s="13"/>
      <c r="R113" s="13"/>
      <c r="S113" s="13"/>
      <c r="T113" s="13"/>
      <c r="U113" s="13"/>
      <c r="V113" s="14"/>
      <c r="W113" s="13"/>
      <c r="X113" s="7" t="str">
        <f aca="false">IF(D113="","",IF(AND(T113="Approved",U113&lt;&gt;"",V113&lt;&gt;""),"Ready","Not yet"))</f>
        <v/>
      </c>
      <c r="Y113" s="7" t="str">
        <f aca="false">IF(N113="","",IF(COUNTIF($N$2:$N$201,N113)&gt;1,"Shares group: never same board",""))</f>
        <v/>
      </c>
    </row>
    <row r="114" customFormat="false" ht="15" hidden="false" customHeight="true" outlineLevel="0" collapsed="false">
      <c r="A114" s="13"/>
      <c r="B114" s="13"/>
      <c r="C114" s="13"/>
      <c r="D114" s="13"/>
      <c r="E114" s="13"/>
      <c r="F114" s="13"/>
      <c r="G114" s="13"/>
      <c r="H114" s="13"/>
      <c r="I114" s="13"/>
      <c r="J114" s="13"/>
      <c r="K114" s="13"/>
      <c r="L114" s="13"/>
      <c r="M114" s="13"/>
      <c r="N114" s="13"/>
      <c r="O114" s="13"/>
      <c r="P114" s="13"/>
      <c r="Q114" s="13"/>
      <c r="R114" s="13"/>
      <c r="S114" s="13"/>
      <c r="T114" s="13"/>
      <c r="U114" s="13"/>
      <c r="V114" s="14"/>
      <c r="W114" s="13"/>
      <c r="X114" s="7" t="str">
        <f aca="false">IF(D114="","",IF(AND(T114="Approved",U114&lt;&gt;"",V114&lt;&gt;""),"Ready","Not yet"))</f>
        <v/>
      </c>
      <c r="Y114" s="7" t="str">
        <f aca="false">IF(N114="","",IF(COUNTIF($N$2:$N$201,N114)&gt;1,"Shares group: never same board",""))</f>
        <v/>
      </c>
    </row>
    <row r="115" customFormat="false" ht="15" hidden="false" customHeight="true" outlineLevel="0" collapsed="false">
      <c r="A115" s="13"/>
      <c r="B115" s="13"/>
      <c r="C115" s="13"/>
      <c r="D115" s="13"/>
      <c r="E115" s="13"/>
      <c r="F115" s="13"/>
      <c r="G115" s="13"/>
      <c r="H115" s="13"/>
      <c r="I115" s="13"/>
      <c r="J115" s="13"/>
      <c r="K115" s="13"/>
      <c r="L115" s="13"/>
      <c r="M115" s="13"/>
      <c r="N115" s="13"/>
      <c r="O115" s="13"/>
      <c r="P115" s="13"/>
      <c r="Q115" s="13"/>
      <c r="R115" s="13"/>
      <c r="S115" s="13"/>
      <c r="T115" s="13"/>
      <c r="U115" s="13"/>
      <c r="V115" s="14"/>
      <c r="W115" s="13"/>
      <c r="X115" s="7" t="str">
        <f aca="false">IF(D115="","",IF(AND(T115="Approved",U115&lt;&gt;"",V115&lt;&gt;""),"Ready","Not yet"))</f>
        <v/>
      </c>
      <c r="Y115" s="7" t="str">
        <f aca="false">IF(N115="","",IF(COUNTIF($N$2:$N$201,N115)&gt;1,"Shares group: never same board",""))</f>
        <v/>
      </c>
    </row>
    <row r="116" customFormat="false" ht="15" hidden="false" customHeight="true" outlineLevel="0" collapsed="false">
      <c r="A116" s="13"/>
      <c r="B116" s="13"/>
      <c r="C116" s="13"/>
      <c r="D116" s="13"/>
      <c r="E116" s="13"/>
      <c r="F116" s="13"/>
      <c r="G116" s="13"/>
      <c r="H116" s="13"/>
      <c r="I116" s="13"/>
      <c r="J116" s="13"/>
      <c r="K116" s="13"/>
      <c r="L116" s="13"/>
      <c r="M116" s="13"/>
      <c r="N116" s="13"/>
      <c r="O116" s="13"/>
      <c r="P116" s="13"/>
      <c r="Q116" s="13"/>
      <c r="R116" s="13"/>
      <c r="S116" s="13"/>
      <c r="T116" s="13"/>
      <c r="U116" s="13"/>
      <c r="V116" s="14"/>
      <c r="W116" s="13"/>
      <c r="X116" s="7" t="str">
        <f aca="false">IF(D116="","",IF(AND(T116="Approved",U116&lt;&gt;"",V116&lt;&gt;""),"Ready","Not yet"))</f>
        <v/>
      </c>
      <c r="Y116" s="7" t="str">
        <f aca="false">IF(N116="","",IF(COUNTIF($N$2:$N$201,N116)&gt;1,"Shares group: never same board",""))</f>
        <v/>
      </c>
    </row>
    <row r="117" customFormat="false" ht="15" hidden="false" customHeight="true" outlineLevel="0" collapsed="false">
      <c r="A117" s="13"/>
      <c r="B117" s="13"/>
      <c r="C117" s="13"/>
      <c r="D117" s="13"/>
      <c r="E117" s="13"/>
      <c r="F117" s="13"/>
      <c r="G117" s="13"/>
      <c r="H117" s="13"/>
      <c r="I117" s="13"/>
      <c r="J117" s="13"/>
      <c r="K117" s="13"/>
      <c r="L117" s="13"/>
      <c r="M117" s="13"/>
      <c r="N117" s="13"/>
      <c r="O117" s="13"/>
      <c r="P117" s="13"/>
      <c r="Q117" s="13"/>
      <c r="R117" s="13"/>
      <c r="S117" s="13"/>
      <c r="T117" s="13"/>
      <c r="U117" s="13"/>
      <c r="V117" s="14"/>
      <c r="W117" s="13"/>
      <c r="X117" s="7" t="str">
        <f aca="false">IF(D117="","",IF(AND(T117="Approved",U117&lt;&gt;"",V117&lt;&gt;""),"Ready","Not yet"))</f>
        <v/>
      </c>
      <c r="Y117" s="7" t="str">
        <f aca="false">IF(N117="","",IF(COUNTIF($N$2:$N$201,N117)&gt;1,"Shares group: never same board",""))</f>
        <v/>
      </c>
    </row>
    <row r="118" customFormat="false" ht="15" hidden="false" customHeight="true" outlineLevel="0" collapsed="false">
      <c r="A118" s="13"/>
      <c r="B118" s="13"/>
      <c r="C118" s="13"/>
      <c r="D118" s="13"/>
      <c r="E118" s="13"/>
      <c r="F118" s="13"/>
      <c r="G118" s="13"/>
      <c r="H118" s="13"/>
      <c r="I118" s="13"/>
      <c r="J118" s="13"/>
      <c r="K118" s="13"/>
      <c r="L118" s="13"/>
      <c r="M118" s="13"/>
      <c r="N118" s="13"/>
      <c r="O118" s="13"/>
      <c r="P118" s="13"/>
      <c r="Q118" s="13"/>
      <c r="R118" s="13"/>
      <c r="S118" s="13"/>
      <c r="T118" s="13"/>
      <c r="U118" s="13"/>
      <c r="V118" s="14"/>
      <c r="W118" s="13"/>
      <c r="X118" s="7" t="str">
        <f aca="false">IF(D118="","",IF(AND(T118="Approved",U118&lt;&gt;"",V118&lt;&gt;""),"Ready","Not yet"))</f>
        <v/>
      </c>
      <c r="Y118" s="7" t="str">
        <f aca="false">IF(N118="","",IF(COUNTIF($N$2:$N$201,N118)&gt;1,"Shares group: never same board",""))</f>
        <v/>
      </c>
    </row>
    <row r="119" customFormat="false" ht="15" hidden="false" customHeight="true" outlineLevel="0" collapsed="false">
      <c r="A119" s="13"/>
      <c r="B119" s="13"/>
      <c r="C119" s="13"/>
      <c r="D119" s="13"/>
      <c r="E119" s="13"/>
      <c r="F119" s="13"/>
      <c r="G119" s="13"/>
      <c r="H119" s="13"/>
      <c r="I119" s="13"/>
      <c r="J119" s="13"/>
      <c r="K119" s="13"/>
      <c r="L119" s="13"/>
      <c r="M119" s="13"/>
      <c r="N119" s="13"/>
      <c r="O119" s="13"/>
      <c r="P119" s="13"/>
      <c r="Q119" s="13"/>
      <c r="R119" s="13"/>
      <c r="S119" s="13"/>
      <c r="T119" s="13"/>
      <c r="U119" s="13"/>
      <c r="V119" s="14"/>
      <c r="W119" s="13"/>
      <c r="X119" s="7" t="str">
        <f aca="false">IF(D119="","",IF(AND(T119="Approved",U119&lt;&gt;"",V119&lt;&gt;""),"Ready","Not yet"))</f>
        <v/>
      </c>
      <c r="Y119" s="7" t="str">
        <f aca="false">IF(N119="","",IF(COUNTIF($N$2:$N$201,N119)&gt;1,"Shares group: never same board",""))</f>
        <v/>
      </c>
    </row>
    <row r="120" customFormat="false" ht="15" hidden="false" customHeight="true" outlineLevel="0" collapsed="false">
      <c r="A120" s="13"/>
      <c r="B120" s="13"/>
      <c r="C120" s="13"/>
      <c r="D120" s="13"/>
      <c r="E120" s="13"/>
      <c r="F120" s="13"/>
      <c r="G120" s="13"/>
      <c r="H120" s="13"/>
      <c r="I120" s="13"/>
      <c r="J120" s="13"/>
      <c r="K120" s="13"/>
      <c r="L120" s="13"/>
      <c r="M120" s="13"/>
      <c r="N120" s="13"/>
      <c r="O120" s="13"/>
      <c r="P120" s="13"/>
      <c r="Q120" s="13"/>
      <c r="R120" s="13"/>
      <c r="S120" s="13"/>
      <c r="T120" s="13"/>
      <c r="U120" s="13"/>
      <c r="V120" s="14"/>
      <c r="W120" s="13"/>
      <c r="X120" s="7" t="str">
        <f aca="false">IF(D120="","",IF(AND(T120="Approved",U120&lt;&gt;"",V120&lt;&gt;""),"Ready","Not yet"))</f>
        <v/>
      </c>
      <c r="Y120" s="7" t="str">
        <f aca="false">IF(N120="","",IF(COUNTIF($N$2:$N$201,N120)&gt;1,"Shares group: never same board",""))</f>
        <v/>
      </c>
    </row>
    <row r="121" customFormat="false" ht="15" hidden="false" customHeight="true" outlineLevel="0" collapsed="false">
      <c r="A121" s="13"/>
      <c r="B121" s="13"/>
      <c r="C121" s="13"/>
      <c r="D121" s="13"/>
      <c r="E121" s="13"/>
      <c r="F121" s="13"/>
      <c r="G121" s="13"/>
      <c r="H121" s="13"/>
      <c r="I121" s="13"/>
      <c r="J121" s="13"/>
      <c r="K121" s="13"/>
      <c r="L121" s="13"/>
      <c r="M121" s="13"/>
      <c r="N121" s="13"/>
      <c r="O121" s="13"/>
      <c r="P121" s="13"/>
      <c r="Q121" s="13"/>
      <c r="R121" s="13"/>
      <c r="S121" s="13"/>
      <c r="T121" s="13"/>
      <c r="U121" s="13"/>
      <c r="V121" s="14"/>
      <c r="W121" s="13"/>
      <c r="X121" s="7" t="str">
        <f aca="false">IF(D121="","",IF(AND(T121="Approved",U121&lt;&gt;"",V121&lt;&gt;""),"Ready","Not yet"))</f>
        <v/>
      </c>
      <c r="Y121" s="7" t="str">
        <f aca="false">IF(N121="","",IF(COUNTIF($N$2:$N$201,N121)&gt;1,"Shares group: never same board",""))</f>
        <v/>
      </c>
    </row>
    <row r="122" customFormat="false" ht="15" hidden="false" customHeight="true" outlineLevel="0" collapsed="false">
      <c r="A122" s="13"/>
      <c r="B122" s="13"/>
      <c r="C122" s="13"/>
      <c r="D122" s="13"/>
      <c r="E122" s="13"/>
      <c r="F122" s="13"/>
      <c r="G122" s="13"/>
      <c r="H122" s="13"/>
      <c r="I122" s="13"/>
      <c r="J122" s="13"/>
      <c r="K122" s="13"/>
      <c r="L122" s="13"/>
      <c r="M122" s="13"/>
      <c r="N122" s="13"/>
      <c r="O122" s="13"/>
      <c r="P122" s="13"/>
      <c r="Q122" s="13"/>
      <c r="R122" s="13"/>
      <c r="S122" s="13"/>
      <c r="T122" s="13"/>
      <c r="U122" s="13"/>
      <c r="V122" s="14"/>
      <c r="W122" s="13"/>
      <c r="X122" s="7" t="str">
        <f aca="false">IF(D122="","",IF(AND(T122="Approved",U122&lt;&gt;"",V122&lt;&gt;""),"Ready","Not yet"))</f>
        <v/>
      </c>
      <c r="Y122" s="7" t="str">
        <f aca="false">IF(N122="","",IF(COUNTIF($N$2:$N$201,N122)&gt;1,"Shares group: never same board",""))</f>
        <v/>
      </c>
    </row>
    <row r="123" customFormat="false" ht="15" hidden="false" customHeight="true" outlineLevel="0" collapsed="false">
      <c r="A123" s="13"/>
      <c r="B123" s="13"/>
      <c r="C123" s="13"/>
      <c r="D123" s="13"/>
      <c r="E123" s="13"/>
      <c r="F123" s="13"/>
      <c r="G123" s="13"/>
      <c r="H123" s="13"/>
      <c r="I123" s="13"/>
      <c r="J123" s="13"/>
      <c r="K123" s="13"/>
      <c r="L123" s="13"/>
      <c r="M123" s="13"/>
      <c r="N123" s="13"/>
      <c r="O123" s="13"/>
      <c r="P123" s="13"/>
      <c r="Q123" s="13"/>
      <c r="R123" s="13"/>
      <c r="S123" s="13"/>
      <c r="T123" s="13"/>
      <c r="U123" s="13"/>
      <c r="V123" s="14"/>
      <c r="W123" s="13"/>
      <c r="X123" s="7" t="str">
        <f aca="false">IF(D123="","",IF(AND(T123="Approved",U123&lt;&gt;"",V123&lt;&gt;""),"Ready","Not yet"))</f>
        <v/>
      </c>
      <c r="Y123" s="7" t="str">
        <f aca="false">IF(N123="","",IF(COUNTIF($N$2:$N$201,N123)&gt;1,"Shares group: never same board",""))</f>
        <v/>
      </c>
    </row>
    <row r="124" customFormat="false" ht="15" hidden="false" customHeight="true" outlineLevel="0" collapsed="false">
      <c r="A124" s="13"/>
      <c r="B124" s="13"/>
      <c r="C124" s="13"/>
      <c r="D124" s="13"/>
      <c r="E124" s="13"/>
      <c r="F124" s="13"/>
      <c r="G124" s="13"/>
      <c r="H124" s="13"/>
      <c r="I124" s="13"/>
      <c r="J124" s="13"/>
      <c r="K124" s="13"/>
      <c r="L124" s="13"/>
      <c r="M124" s="13"/>
      <c r="N124" s="13"/>
      <c r="O124" s="13"/>
      <c r="P124" s="13"/>
      <c r="Q124" s="13"/>
      <c r="R124" s="13"/>
      <c r="S124" s="13"/>
      <c r="T124" s="13"/>
      <c r="U124" s="13"/>
      <c r="V124" s="14"/>
      <c r="W124" s="13"/>
      <c r="X124" s="7" t="str">
        <f aca="false">IF(D124="","",IF(AND(T124="Approved",U124&lt;&gt;"",V124&lt;&gt;""),"Ready","Not yet"))</f>
        <v/>
      </c>
      <c r="Y124" s="7" t="str">
        <f aca="false">IF(N124="","",IF(COUNTIF($N$2:$N$201,N124)&gt;1,"Shares group: never same board",""))</f>
        <v/>
      </c>
    </row>
    <row r="125" customFormat="false" ht="15" hidden="false" customHeight="true" outlineLevel="0" collapsed="false">
      <c r="A125" s="13"/>
      <c r="B125" s="13"/>
      <c r="C125" s="13"/>
      <c r="D125" s="13"/>
      <c r="E125" s="13"/>
      <c r="F125" s="13"/>
      <c r="G125" s="13"/>
      <c r="H125" s="13"/>
      <c r="I125" s="13"/>
      <c r="J125" s="13"/>
      <c r="K125" s="13"/>
      <c r="L125" s="13"/>
      <c r="M125" s="13"/>
      <c r="N125" s="13"/>
      <c r="O125" s="13"/>
      <c r="P125" s="13"/>
      <c r="Q125" s="13"/>
      <c r="R125" s="13"/>
      <c r="S125" s="13"/>
      <c r="T125" s="13"/>
      <c r="U125" s="13"/>
      <c r="V125" s="14"/>
      <c r="W125" s="13"/>
      <c r="X125" s="7" t="str">
        <f aca="false">IF(D125="","",IF(AND(T125="Approved",U125&lt;&gt;"",V125&lt;&gt;""),"Ready","Not yet"))</f>
        <v/>
      </c>
      <c r="Y125" s="7" t="str">
        <f aca="false">IF(N125="","",IF(COUNTIF($N$2:$N$201,N125)&gt;1,"Shares group: never same board",""))</f>
        <v/>
      </c>
    </row>
    <row r="126" customFormat="false" ht="15" hidden="false" customHeight="true" outlineLevel="0" collapsed="false">
      <c r="A126" s="13"/>
      <c r="B126" s="13"/>
      <c r="C126" s="13"/>
      <c r="D126" s="13"/>
      <c r="E126" s="13"/>
      <c r="F126" s="13"/>
      <c r="G126" s="13"/>
      <c r="H126" s="13"/>
      <c r="I126" s="13"/>
      <c r="J126" s="13"/>
      <c r="K126" s="13"/>
      <c r="L126" s="13"/>
      <c r="M126" s="13"/>
      <c r="N126" s="13"/>
      <c r="O126" s="13"/>
      <c r="P126" s="13"/>
      <c r="Q126" s="13"/>
      <c r="R126" s="13"/>
      <c r="S126" s="13"/>
      <c r="T126" s="13"/>
      <c r="U126" s="13"/>
      <c r="V126" s="14"/>
      <c r="W126" s="13"/>
      <c r="X126" s="7" t="str">
        <f aca="false">IF(D126="","",IF(AND(T126="Approved",U126&lt;&gt;"",V126&lt;&gt;""),"Ready","Not yet"))</f>
        <v/>
      </c>
      <c r="Y126" s="7" t="str">
        <f aca="false">IF(N126="","",IF(COUNTIF($N$2:$N$201,N126)&gt;1,"Shares group: never same board",""))</f>
        <v/>
      </c>
    </row>
    <row r="127" customFormat="false" ht="15" hidden="false" customHeight="true" outlineLevel="0" collapsed="false">
      <c r="A127" s="13"/>
      <c r="B127" s="13"/>
      <c r="C127" s="13"/>
      <c r="D127" s="13"/>
      <c r="E127" s="13"/>
      <c r="F127" s="13"/>
      <c r="G127" s="13"/>
      <c r="H127" s="13"/>
      <c r="I127" s="13"/>
      <c r="J127" s="13"/>
      <c r="K127" s="13"/>
      <c r="L127" s="13"/>
      <c r="M127" s="13"/>
      <c r="N127" s="13"/>
      <c r="O127" s="13"/>
      <c r="P127" s="13"/>
      <c r="Q127" s="13"/>
      <c r="R127" s="13"/>
      <c r="S127" s="13"/>
      <c r="T127" s="13"/>
      <c r="U127" s="13"/>
      <c r="V127" s="14"/>
      <c r="W127" s="13"/>
      <c r="X127" s="7" t="str">
        <f aca="false">IF(D127="","",IF(AND(T127="Approved",U127&lt;&gt;"",V127&lt;&gt;""),"Ready","Not yet"))</f>
        <v/>
      </c>
      <c r="Y127" s="7" t="str">
        <f aca="false">IF(N127="","",IF(COUNTIF($N$2:$N$201,N127)&gt;1,"Shares group: never same board",""))</f>
        <v/>
      </c>
    </row>
    <row r="128" customFormat="false" ht="15" hidden="false" customHeight="true" outlineLevel="0" collapsed="false">
      <c r="A128" s="13"/>
      <c r="B128" s="13"/>
      <c r="C128" s="13"/>
      <c r="D128" s="13"/>
      <c r="E128" s="13"/>
      <c r="F128" s="13"/>
      <c r="G128" s="13"/>
      <c r="H128" s="13"/>
      <c r="I128" s="13"/>
      <c r="J128" s="13"/>
      <c r="K128" s="13"/>
      <c r="L128" s="13"/>
      <c r="M128" s="13"/>
      <c r="N128" s="13"/>
      <c r="O128" s="13"/>
      <c r="P128" s="13"/>
      <c r="Q128" s="13"/>
      <c r="R128" s="13"/>
      <c r="S128" s="13"/>
      <c r="T128" s="13"/>
      <c r="U128" s="13"/>
      <c r="V128" s="14"/>
      <c r="W128" s="13"/>
      <c r="X128" s="7" t="str">
        <f aca="false">IF(D128="","",IF(AND(T128="Approved",U128&lt;&gt;"",V128&lt;&gt;""),"Ready","Not yet"))</f>
        <v/>
      </c>
      <c r="Y128" s="7" t="str">
        <f aca="false">IF(N128="","",IF(COUNTIF($N$2:$N$201,N128)&gt;1,"Shares group: never same board",""))</f>
        <v/>
      </c>
    </row>
    <row r="129" customFormat="false" ht="15" hidden="false" customHeight="true" outlineLevel="0" collapsed="false">
      <c r="A129" s="13"/>
      <c r="B129" s="13"/>
      <c r="C129" s="13"/>
      <c r="D129" s="13"/>
      <c r="E129" s="13"/>
      <c r="F129" s="13"/>
      <c r="G129" s="13"/>
      <c r="H129" s="13"/>
      <c r="I129" s="13"/>
      <c r="J129" s="13"/>
      <c r="K129" s="13"/>
      <c r="L129" s="13"/>
      <c r="M129" s="13"/>
      <c r="N129" s="13"/>
      <c r="O129" s="13"/>
      <c r="P129" s="13"/>
      <c r="Q129" s="13"/>
      <c r="R129" s="13"/>
      <c r="S129" s="13"/>
      <c r="T129" s="13"/>
      <c r="U129" s="13"/>
      <c r="V129" s="14"/>
      <c r="W129" s="13"/>
      <c r="X129" s="7" t="str">
        <f aca="false">IF(D129="","",IF(AND(T129="Approved",U129&lt;&gt;"",V129&lt;&gt;""),"Ready","Not yet"))</f>
        <v/>
      </c>
      <c r="Y129" s="7" t="str">
        <f aca="false">IF(N129="","",IF(COUNTIF($N$2:$N$201,N129)&gt;1,"Shares group: never same board",""))</f>
        <v/>
      </c>
    </row>
    <row r="130" customFormat="false" ht="15" hidden="false" customHeight="true" outlineLevel="0" collapsed="false">
      <c r="A130" s="13"/>
      <c r="B130" s="13"/>
      <c r="C130" s="13"/>
      <c r="D130" s="13"/>
      <c r="E130" s="13"/>
      <c r="F130" s="13"/>
      <c r="G130" s="13"/>
      <c r="H130" s="13"/>
      <c r="I130" s="13"/>
      <c r="J130" s="13"/>
      <c r="K130" s="13"/>
      <c r="L130" s="13"/>
      <c r="M130" s="13"/>
      <c r="N130" s="13"/>
      <c r="O130" s="13"/>
      <c r="P130" s="13"/>
      <c r="Q130" s="13"/>
      <c r="R130" s="13"/>
      <c r="S130" s="13"/>
      <c r="T130" s="13"/>
      <c r="U130" s="13"/>
      <c r="V130" s="14"/>
      <c r="W130" s="13"/>
      <c r="X130" s="7" t="str">
        <f aca="false">IF(D130="","",IF(AND(T130="Approved",U130&lt;&gt;"",V130&lt;&gt;""),"Ready","Not yet"))</f>
        <v/>
      </c>
      <c r="Y130" s="7" t="str">
        <f aca="false">IF(N130="","",IF(COUNTIF($N$2:$N$201,N130)&gt;1,"Shares group: never same board",""))</f>
        <v/>
      </c>
    </row>
    <row r="131" customFormat="false" ht="15" hidden="false" customHeight="true" outlineLevel="0" collapsed="false">
      <c r="A131" s="13"/>
      <c r="B131" s="13"/>
      <c r="C131" s="13"/>
      <c r="D131" s="13"/>
      <c r="E131" s="13"/>
      <c r="F131" s="13"/>
      <c r="G131" s="13"/>
      <c r="H131" s="13"/>
      <c r="I131" s="13"/>
      <c r="J131" s="13"/>
      <c r="K131" s="13"/>
      <c r="L131" s="13"/>
      <c r="M131" s="13"/>
      <c r="N131" s="13"/>
      <c r="O131" s="13"/>
      <c r="P131" s="13"/>
      <c r="Q131" s="13"/>
      <c r="R131" s="13"/>
      <c r="S131" s="13"/>
      <c r="T131" s="13"/>
      <c r="U131" s="13"/>
      <c r="V131" s="14"/>
      <c r="W131" s="13"/>
      <c r="X131" s="7" t="str">
        <f aca="false">IF(D131="","",IF(AND(T131="Approved",U131&lt;&gt;"",V131&lt;&gt;""),"Ready","Not yet"))</f>
        <v/>
      </c>
      <c r="Y131" s="7" t="str">
        <f aca="false">IF(N131="","",IF(COUNTIF($N$2:$N$201,N131)&gt;1,"Shares group: never same board",""))</f>
        <v/>
      </c>
    </row>
    <row r="132" customFormat="false" ht="15" hidden="false" customHeight="true" outlineLevel="0" collapsed="false">
      <c r="A132" s="13"/>
      <c r="B132" s="13"/>
      <c r="C132" s="13"/>
      <c r="D132" s="13"/>
      <c r="E132" s="13"/>
      <c r="F132" s="13"/>
      <c r="G132" s="13"/>
      <c r="H132" s="13"/>
      <c r="I132" s="13"/>
      <c r="J132" s="13"/>
      <c r="K132" s="13"/>
      <c r="L132" s="13"/>
      <c r="M132" s="13"/>
      <c r="N132" s="13"/>
      <c r="O132" s="13"/>
      <c r="P132" s="13"/>
      <c r="Q132" s="13"/>
      <c r="R132" s="13"/>
      <c r="S132" s="13"/>
      <c r="T132" s="13"/>
      <c r="U132" s="13"/>
      <c r="V132" s="14"/>
      <c r="W132" s="13"/>
      <c r="X132" s="7" t="str">
        <f aca="false">IF(D132="","",IF(AND(T132="Approved",U132&lt;&gt;"",V132&lt;&gt;""),"Ready","Not yet"))</f>
        <v/>
      </c>
      <c r="Y132" s="7" t="str">
        <f aca="false">IF(N132="","",IF(COUNTIF($N$2:$N$201,N132)&gt;1,"Shares group: never same board",""))</f>
        <v/>
      </c>
    </row>
    <row r="133" customFormat="false" ht="15" hidden="false" customHeight="true" outlineLevel="0" collapsed="false">
      <c r="A133" s="13"/>
      <c r="B133" s="13"/>
      <c r="C133" s="13"/>
      <c r="D133" s="13"/>
      <c r="E133" s="13"/>
      <c r="F133" s="13"/>
      <c r="G133" s="13"/>
      <c r="H133" s="13"/>
      <c r="I133" s="13"/>
      <c r="J133" s="13"/>
      <c r="K133" s="13"/>
      <c r="L133" s="13"/>
      <c r="M133" s="13"/>
      <c r="N133" s="13"/>
      <c r="O133" s="13"/>
      <c r="P133" s="13"/>
      <c r="Q133" s="13"/>
      <c r="R133" s="13"/>
      <c r="S133" s="13"/>
      <c r="T133" s="13"/>
      <c r="U133" s="13"/>
      <c r="V133" s="14"/>
      <c r="W133" s="13"/>
      <c r="X133" s="7" t="str">
        <f aca="false">IF(D133="","",IF(AND(T133="Approved",U133&lt;&gt;"",V133&lt;&gt;""),"Ready","Not yet"))</f>
        <v/>
      </c>
      <c r="Y133" s="7" t="str">
        <f aca="false">IF(N133="","",IF(COUNTIF($N$2:$N$201,N133)&gt;1,"Shares group: never same board",""))</f>
        <v/>
      </c>
    </row>
    <row r="134" customFormat="false" ht="15" hidden="false" customHeight="true" outlineLevel="0" collapsed="false">
      <c r="A134" s="13"/>
      <c r="B134" s="13"/>
      <c r="C134" s="13"/>
      <c r="D134" s="13"/>
      <c r="E134" s="13"/>
      <c r="F134" s="13"/>
      <c r="G134" s="13"/>
      <c r="H134" s="13"/>
      <c r="I134" s="13"/>
      <c r="J134" s="13"/>
      <c r="K134" s="13"/>
      <c r="L134" s="13"/>
      <c r="M134" s="13"/>
      <c r="N134" s="13"/>
      <c r="O134" s="13"/>
      <c r="P134" s="13"/>
      <c r="Q134" s="13"/>
      <c r="R134" s="13"/>
      <c r="S134" s="13"/>
      <c r="T134" s="13"/>
      <c r="U134" s="13"/>
      <c r="V134" s="14"/>
      <c r="W134" s="13"/>
      <c r="X134" s="7" t="str">
        <f aca="false">IF(D134="","",IF(AND(T134="Approved",U134&lt;&gt;"",V134&lt;&gt;""),"Ready","Not yet"))</f>
        <v/>
      </c>
      <c r="Y134" s="7" t="str">
        <f aca="false">IF(N134="","",IF(COUNTIF($N$2:$N$201,N134)&gt;1,"Shares group: never same board",""))</f>
        <v/>
      </c>
    </row>
    <row r="135" customFormat="false" ht="15" hidden="false" customHeight="true" outlineLevel="0" collapsed="false">
      <c r="A135" s="13"/>
      <c r="B135" s="13"/>
      <c r="C135" s="13"/>
      <c r="D135" s="13"/>
      <c r="E135" s="13"/>
      <c r="F135" s="13"/>
      <c r="G135" s="13"/>
      <c r="H135" s="13"/>
      <c r="I135" s="13"/>
      <c r="J135" s="13"/>
      <c r="K135" s="13"/>
      <c r="L135" s="13"/>
      <c r="M135" s="13"/>
      <c r="N135" s="13"/>
      <c r="O135" s="13"/>
      <c r="P135" s="13"/>
      <c r="Q135" s="13"/>
      <c r="R135" s="13"/>
      <c r="S135" s="13"/>
      <c r="T135" s="13"/>
      <c r="U135" s="13"/>
      <c r="V135" s="14"/>
      <c r="W135" s="13"/>
      <c r="X135" s="7" t="str">
        <f aca="false">IF(D135="","",IF(AND(T135="Approved",U135&lt;&gt;"",V135&lt;&gt;""),"Ready","Not yet"))</f>
        <v/>
      </c>
      <c r="Y135" s="7" t="str">
        <f aca="false">IF(N135="","",IF(COUNTIF($N$2:$N$201,N135)&gt;1,"Shares group: never same board",""))</f>
        <v/>
      </c>
    </row>
    <row r="136" customFormat="false" ht="15" hidden="false" customHeight="true" outlineLevel="0" collapsed="false">
      <c r="A136" s="13"/>
      <c r="B136" s="13"/>
      <c r="C136" s="13"/>
      <c r="D136" s="13"/>
      <c r="E136" s="13"/>
      <c r="F136" s="13"/>
      <c r="G136" s="13"/>
      <c r="H136" s="13"/>
      <c r="I136" s="13"/>
      <c r="J136" s="13"/>
      <c r="K136" s="13"/>
      <c r="L136" s="13"/>
      <c r="M136" s="13"/>
      <c r="N136" s="13"/>
      <c r="O136" s="13"/>
      <c r="P136" s="13"/>
      <c r="Q136" s="13"/>
      <c r="R136" s="13"/>
      <c r="S136" s="13"/>
      <c r="T136" s="13"/>
      <c r="U136" s="13"/>
      <c r="V136" s="14"/>
      <c r="W136" s="13"/>
      <c r="X136" s="7" t="str">
        <f aca="false">IF(D136="","",IF(AND(T136="Approved",U136&lt;&gt;"",V136&lt;&gt;""),"Ready","Not yet"))</f>
        <v/>
      </c>
      <c r="Y136" s="7" t="str">
        <f aca="false">IF(N136="","",IF(COUNTIF($N$2:$N$201,N136)&gt;1,"Shares group: never same board",""))</f>
        <v/>
      </c>
    </row>
    <row r="137" customFormat="false" ht="15" hidden="false" customHeight="true" outlineLevel="0" collapsed="false">
      <c r="A137" s="13"/>
      <c r="B137" s="13"/>
      <c r="C137" s="13"/>
      <c r="D137" s="13"/>
      <c r="E137" s="13"/>
      <c r="F137" s="13"/>
      <c r="G137" s="13"/>
      <c r="H137" s="13"/>
      <c r="I137" s="13"/>
      <c r="J137" s="13"/>
      <c r="K137" s="13"/>
      <c r="L137" s="13"/>
      <c r="M137" s="13"/>
      <c r="N137" s="13"/>
      <c r="O137" s="13"/>
      <c r="P137" s="13"/>
      <c r="Q137" s="13"/>
      <c r="R137" s="13"/>
      <c r="S137" s="13"/>
      <c r="T137" s="13"/>
      <c r="U137" s="13"/>
      <c r="V137" s="14"/>
      <c r="W137" s="13"/>
      <c r="X137" s="7" t="str">
        <f aca="false">IF(D137="","",IF(AND(T137="Approved",U137&lt;&gt;"",V137&lt;&gt;""),"Ready","Not yet"))</f>
        <v/>
      </c>
      <c r="Y137" s="7" t="str">
        <f aca="false">IF(N137="","",IF(COUNTIF($N$2:$N$201,N137)&gt;1,"Shares group: never same board",""))</f>
        <v/>
      </c>
    </row>
    <row r="138" customFormat="false" ht="15" hidden="false" customHeight="true" outlineLevel="0" collapsed="false">
      <c r="A138" s="13"/>
      <c r="B138" s="13"/>
      <c r="C138" s="13"/>
      <c r="D138" s="13"/>
      <c r="E138" s="13"/>
      <c r="F138" s="13"/>
      <c r="G138" s="13"/>
      <c r="H138" s="13"/>
      <c r="I138" s="13"/>
      <c r="J138" s="13"/>
      <c r="K138" s="13"/>
      <c r="L138" s="13"/>
      <c r="M138" s="13"/>
      <c r="N138" s="13"/>
      <c r="O138" s="13"/>
      <c r="P138" s="13"/>
      <c r="Q138" s="13"/>
      <c r="R138" s="13"/>
      <c r="S138" s="13"/>
      <c r="T138" s="13"/>
      <c r="U138" s="13"/>
      <c r="V138" s="14"/>
      <c r="W138" s="13"/>
      <c r="X138" s="7" t="str">
        <f aca="false">IF(D138="","",IF(AND(T138="Approved",U138&lt;&gt;"",V138&lt;&gt;""),"Ready","Not yet"))</f>
        <v/>
      </c>
      <c r="Y138" s="7" t="str">
        <f aca="false">IF(N138="","",IF(COUNTIF($N$2:$N$201,N138)&gt;1,"Shares group: never same board",""))</f>
        <v/>
      </c>
    </row>
    <row r="139" customFormat="false" ht="15" hidden="false" customHeight="true" outlineLevel="0" collapsed="false">
      <c r="A139" s="13"/>
      <c r="B139" s="13"/>
      <c r="C139" s="13"/>
      <c r="D139" s="13"/>
      <c r="E139" s="13"/>
      <c r="F139" s="13"/>
      <c r="G139" s="13"/>
      <c r="H139" s="13"/>
      <c r="I139" s="13"/>
      <c r="J139" s="13"/>
      <c r="K139" s="13"/>
      <c r="L139" s="13"/>
      <c r="M139" s="13"/>
      <c r="N139" s="13"/>
      <c r="O139" s="13"/>
      <c r="P139" s="13"/>
      <c r="Q139" s="13"/>
      <c r="R139" s="13"/>
      <c r="S139" s="13"/>
      <c r="T139" s="13"/>
      <c r="U139" s="13"/>
      <c r="V139" s="14"/>
      <c r="W139" s="13"/>
      <c r="X139" s="7" t="str">
        <f aca="false">IF(D139="","",IF(AND(T139="Approved",U139&lt;&gt;"",V139&lt;&gt;""),"Ready","Not yet"))</f>
        <v/>
      </c>
      <c r="Y139" s="7" t="str">
        <f aca="false">IF(N139="","",IF(COUNTIF($N$2:$N$201,N139)&gt;1,"Shares group: never same board",""))</f>
        <v/>
      </c>
    </row>
    <row r="140" customFormat="false" ht="15" hidden="false" customHeight="true" outlineLevel="0" collapsed="false">
      <c r="A140" s="13"/>
      <c r="B140" s="13"/>
      <c r="C140" s="13"/>
      <c r="D140" s="13"/>
      <c r="E140" s="13"/>
      <c r="F140" s="13"/>
      <c r="G140" s="13"/>
      <c r="H140" s="13"/>
      <c r="I140" s="13"/>
      <c r="J140" s="13"/>
      <c r="K140" s="13"/>
      <c r="L140" s="13"/>
      <c r="M140" s="13"/>
      <c r="N140" s="13"/>
      <c r="O140" s="13"/>
      <c r="P140" s="13"/>
      <c r="Q140" s="13"/>
      <c r="R140" s="13"/>
      <c r="S140" s="13"/>
      <c r="T140" s="13"/>
      <c r="U140" s="13"/>
      <c r="V140" s="14"/>
      <c r="W140" s="13"/>
      <c r="X140" s="7" t="str">
        <f aca="false">IF(D140="","",IF(AND(T140="Approved",U140&lt;&gt;"",V140&lt;&gt;""),"Ready","Not yet"))</f>
        <v/>
      </c>
      <c r="Y140" s="7" t="str">
        <f aca="false">IF(N140="","",IF(COUNTIF($N$2:$N$201,N140)&gt;1,"Shares group: never same board",""))</f>
        <v/>
      </c>
    </row>
    <row r="141" customFormat="false" ht="15" hidden="false" customHeight="true" outlineLevel="0" collapsed="false">
      <c r="A141" s="13"/>
      <c r="B141" s="13"/>
      <c r="C141" s="13"/>
      <c r="D141" s="13"/>
      <c r="E141" s="13"/>
      <c r="F141" s="13"/>
      <c r="G141" s="13"/>
      <c r="H141" s="13"/>
      <c r="I141" s="13"/>
      <c r="J141" s="13"/>
      <c r="K141" s="13"/>
      <c r="L141" s="13"/>
      <c r="M141" s="13"/>
      <c r="N141" s="13"/>
      <c r="O141" s="13"/>
      <c r="P141" s="13"/>
      <c r="Q141" s="13"/>
      <c r="R141" s="13"/>
      <c r="S141" s="13"/>
      <c r="T141" s="13"/>
      <c r="U141" s="13"/>
      <c r="V141" s="14"/>
      <c r="W141" s="13"/>
      <c r="X141" s="7" t="str">
        <f aca="false">IF(D141="","",IF(AND(T141="Approved",U141&lt;&gt;"",V141&lt;&gt;""),"Ready","Not yet"))</f>
        <v/>
      </c>
      <c r="Y141" s="7" t="str">
        <f aca="false">IF(N141="","",IF(COUNTIF($N$2:$N$201,N141)&gt;1,"Shares group: never same board",""))</f>
        <v/>
      </c>
    </row>
    <row r="142" customFormat="false" ht="15" hidden="false" customHeight="true" outlineLevel="0" collapsed="false">
      <c r="A142" s="13"/>
      <c r="B142" s="13"/>
      <c r="C142" s="13"/>
      <c r="D142" s="13"/>
      <c r="E142" s="13"/>
      <c r="F142" s="13"/>
      <c r="G142" s="13"/>
      <c r="H142" s="13"/>
      <c r="I142" s="13"/>
      <c r="J142" s="13"/>
      <c r="K142" s="13"/>
      <c r="L142" s="13"/>
      <c r="M142" s="13"/>
      <c r="N142" s="13"/>
      <c r="O142" s="13"/>
      <c r="P142" s="13"/>
      <c r="Q142" s="13"/>
      <c r="R142" s="13"/>
      <c r="S142" s="13"/>
      <c r="T142" s="13"/>
      <c r="U142" s="13"/>
      <c r="V142" s="14"/>
      <c r="W142" s="13"/>
      <c r="X142" s="7" t="str">
        <f aca="false">IF(D142="","",IF(AND(T142="Approved",U142&lt;&gt;"",V142&lt;&gt;""),"Ready","Not yet"))</f>
        <v/>
      </c>
      <c r="Y142" s="7" t="str">
        <f aca="false">IF(N142="","",IF(COUNTIF($N$2:$N$201,N142)&gt;1,"Shares group: never same board",""))</f>
        <v/>
      </c>
    </row>
    <row r="143" customFormat="false" ht="15" hidden="false" customHeight="true" outlineLevel="0" collapsed="false">
      <c r="A143" s="13"/>
      <c r="B143" s="13"/>
      <c r="C143" s="13"/>
      <c r="D143" s="13"/>
      <c r="E143" s="13"/>
      <c r="F143" s="13"/>
      <c r="G143" s="13"/>
      <c r="H143" s="13"/>
      <c r="I143" s="13"/>
      <c r="J143" s="13"/>
      <c r="K143" s="13"/>
      <c r="L143" s="13"/>
      <c r="M143" s="13"/>
      <c r="N143" s="13"/>
      <c r="O143" s="13"/>
      <c r="P143" s="13"/>
      <c r="Q143" s="13"/>
      <c r="R143" s="13"/>
      <c r="S143" s="13"/>
      <c r="T143" s="13"/>
      <c r="U143" s="13"/>
      <c r="V143" s="14"/>
      <c r="W143" s="13"/>
      <c r="X143" s="7" t="str">
        <f aca="false">IF(D143="","",IF(AND(T143="Approved",U143&lt;&gt;"",V143&lt;&gt;""),"Ready","Not yet"))</f>
        <v/>
      </c>
      <c r="Y143" s="7" t="str">
        <f aca="false">IF(N143="","",IF(COUNTIF($N$2:$N$201,N143)&gt;1,"Shares group: never same board",""))</f>
        <v/>
      </c>
    </row>
    <row r="144" customFormat="false" ht="15" hidden="false" customHeight="true" outlineLevel="0" collapsed="false">
      <c r="A144" s="13"/>
      <c r="B144" s="13"/>
      <c r="C144" s="13"/>
      <c r="D144" s="13"/>
      <c r="E144" s="13"/>
      <c r="F144" s="13"/>
      <c r="G144" s="13"/>
      <c r="H144" s="13"/>
      <c r="I144" s="13"/>
      <c r="J144" s="13"/>
      <c r="K144" s="13"/>
      <c r="L144" s="13"/>
      <c r="M144" s="13"/>
      <c r="N144" s="13"/>
      <c r="O144" s="13"/>
      <c r="P144" s="13"/>
      <c r="Q144" s="13"/>
      <c r="R144" s="13"/>
      <c r="S144" s="13"/>
      <c r="T144" s="13"/>
      <c r="U144" s="13"/>
      <c r="V144" s="14"/>
      <c r="W144" s="13"/>
      <c r="X144" s="7" t="str">
        <f aca="false">IF(D144="","",IF(AND(T144="Approved",U144&lt;&gt;"",V144&lt;&gt;""),"Ready","Not yet"))</f>
        <v/>
      </c>
      <c r="Y144" s="7" t="str">
        <f aca="false">IF(N144="","",IF(COUNTIF($N$2:$N$201,N144)&gt;1,"Shares group: never same board",""))</f>
        <v/>
      </c>
    </row>
    <row r="145" customFormat="false" ht="15" hidden="false" customHeight="true" outlineLevel="0" collapsed="false">
      <c r="A145" s="13"/>
      <c r="B145" s="13"/>
      <c r="C145" s="13"/>
      <c r="D145" s="13"/>
      <c r="E145" s="13"/>
      <c r="F145" s="13"/>
      <c r="G145" s="13"/>
      <c r="H145" s="13"/>
      <c r="I145" s="13"/>
      <c r="J145" s="13"/>
      <c r="K145" s="13"/>
      <c r="L145" s="13"/>
      <c r="M145" s="13"/>
      <c r="N145" s="13"/>
      <c r="O145" s="13"/>
      <c r="P145" s="13"/>
      <c r="Q145" s="13"/>
      <c r="R145" s="13"/>
      <c r="S145" s="13"/>
      <c r="T145" s="13"/>
      <c r="U145" s="13"/>
      <c r="V145" s="14"/>
      <c r="W145" s="13"/>
      <c r="X145" s="7" t="str">
        <f aca="false">IF(D145="","",IF(AND(T145="Approved",U145&lt;&gt;"",V145&lt;&gt;""),"Ready","Not yet"))</f>
        <v/>
      </c>
      <c r="Y145" s="7" t="str">
        <f aca="false">IF(N145="","",IF(COUNTIF($N$2:$N$201,N145)&gt;1,"Shares group: never same board",""))</f>
        <v/>
      </c>
    </row>
    <row r="146" customFormat="false" ht="15" hidden="false" customHeight="true" outlineLevel="0" collapsed="false">
      <c r="A146" s="13"/>
      <c r="B146" s="13"/>
      <c r="C146" s="13"/>
      <c r="D146" s="13"/>
      <c r="E146" s="13"/>
      <c r="F146" s="13"/>
      <c r="G146" s="13"/>
      <c r="H146" s="13"/>
      <c r="I146" s="13"/>
      <c r="J146" s="13"/>
      <c r="K146" s="13"/>
      <c r="L146" s="13"/>
      <c r="M146" s="13"/>
      <c r="N146" s="13"/>
      <c r="O146" s="13"/>
      <c r="P146" s="13"/>
      <c r="Q146" s="13"/>
      <c r="R146" s="13"/>
      <c r="S146" s="13"/>
      <c r="T146" s="13"/>
      <c r="U146" s="13"/>
      <c r="V146" s="14"/>
      <c r="W146" s="13"/>
      <c r="X146" s="7" t="str">
        <f aca="false">IF(D146="","",IF(AND(T146="Approved",U146&lt;&gt;"",V146&lt;&gt;""),"Ready","Not yet"))</f>
        <v/>
      </c>
      <c r="Y146" s="7" t="str">
        <f aca="false">IF(N146="","",IF(COUNTIF($N$2:$N$201,N146)&gt;1,"Shares group: never same board",""))</f>
        <v/>
      </c>
    </row>
    <row r="147" customFormat="false" ht="15" hidden="false" customHeight="true" outlineLevel="0" collapsed="false">
      <c r="A147" s="13"/>
      <c r="B147" s="13"/>
      <c r="C147" s="13"/>
      <c r="D147" s="13"/>
      <c r="E147" s="13"/>
      <c r="F147" s="13"/>
      <c r="G147" s="13"/>
      <c r="H147" s="13"/>
      <c r="I147" s="13"/>
      <c r="J147" s="13"/>
      <c r="K147" s="13"/>
      <c r="L147" s="13"/>
      <c r="M147" s="13"/>
      <c r="N147" s="13"/>
      <c r="O147" s="13"/>
      <c r="P147" s="13"/>
      <c r="Q147" s="13"/>
      <c r="R147" s="13"/>
      <c r="S147" s="13"/>
      <c r="T147" s="13"/>
      <c r="U147" s="13"/>
      <c r="V147" s="14"/>
      <c r="W147" s="13"/>
      <c r="X147" s="7" t="str">
        <f aca="false">IF(D147="","",IF(AND(T147="Approved",U147&lt;&gt;"",V147&lt;&gt;""),"Ready","Not yet"))</f>
        <v/>
      </c>
      <c r="Y147" s="7" t="str">
        <f aca="false">IF(N147="","",IF(COUNTIF($N$2:$N$201,N147)&gt;1,"Shares group: never same board",""))</f>
        <v/>
      </c>
    </row>
    <row r="148" customFormat="false" ht="15" hidden="false" customHeight="true" outlineLevel="0" collapsed="false">
      <c r="A148" s="13"/>
      <c r="B148" s="13"/>
      <c r="C148" s="13"/>
      <c r="D148" s="13"/>
      <c r="E148" s="13"/>
      <c r="F148" s="13"/>
      <c r="G148" s="13"/>
      <c r="H148" s="13"/>
      <c r="I148" s="13"/>
      <c r="J148" s="13"/>
      <c r="K148" s="13"/>
      <c r="L148" s="13"/>
      <c r="M148" s="13"/>
      <c r="N148" s="13"/>
      <c r="O148" s="13"/>
      <c r="P148" s="13"/>
      <c r="Q148" s="13"/>
      <c r="R148" s="13"/>
      <c r="S148" s="13"/>
      <c r="T148" s="13"/>
      <c r="U148" s="13"/>
      <c r="V148" s="14"/>
      <c r="W148" s="13"/>
      <c r="X148" s="7" t="str">
        <f aca="false">IF(D148="","",IF(AND(T148="Approved",U148&lt;&gt;"",V148&lt;&gt;""),"Ready","Not yet"))</f>
        <v/>
      </c>
      <c r="Y148" s="7" t="str">
        <f aca="false">IF(N148="","",IF(COUNTIF($N$2:$N$201,N148)&gt;1,"Shares group: never same board",""))</f>
        <v/>
      </c>
    </row>
    <row r="149" customFormat="false" ht="15" hidden="false" customHeight="true" outlineLevel="0" collapsed="false">
      <c r="A149" s="13"/>
      <c r="B149" s="13"/>
      <c r="C149" s="13"/>
      <c r="D149" s="13"/>
      <c r="E149" s="13"/>
      <c r="F149" s="13"/>
      <c r="G149" s="13"/>
      <c r="H149" s="13"/>
      <c r="I149" s="13"/>
      <c r="J149" s="13"/>
      <c r="K149" s="13"/>
      <c r="L149" s="13"/>
      <c r="M149" s="13"/>
      <c r="N149" s="13"/>
      <c r="O149" s="13"/>
      <c r="P149" s="13"/>
      <c r="Q149" s="13"/>
      <c r="R149" s="13"/>
      <c r="S149" s="13"/>
      <c r="T149" s="13"/>
      <c r="U149" s="13"/>
      <c r="V149" s="14"/>
      <c r="W149" s="13"/>
      <c r="X149" s="7" t="str">
        <f aca="false">IF(D149="","",IF(AND(T149="Approved",U149&lt;&gt;"",V149&lt;&gt;""),"Ready","Not yet"))</f>
        <v/>
      </c>
      <c r="Y149" s="7" t="str">
        <f aca="false">IF(N149="","",IF(COUNTIF($N$2:$N$201,N149)&gt;1,"Shares group: never same board",""))</f>
        <v/>
      </c>
    </row>
    <row r="150" customFormat="false" ht="15" hidden="false" customHeight="true" outlineLevel="0" collapsed="false">
      <c r="A150" s="13"/>
      <c r="B150" s="13"/>
      <c r="C150" s="13"/>
      <c r="D150" s="13"/>
      <c r="E150" s="13"/>
      <c r="F150" s="13"/>
      <c r="G150" s="13"/>
      <c r="H150" s="13"/>
      <c r="I150" s="13"/>
      <c r="J150" s="13"/>
      <c r="K150" s="13"/>
      <c r="L150" s="13"/>
      <c r="M150" s="13"/>
      <c r="N150" s="13"/>
      <c r="O150" s="13"/>
      <c r="P150" s="13"/>
      <c r="Q150" s="13"/>
      <c r="R150" s="13"/>
      <c r="S150" s="13"/>
      <c r="T150" s="13"/>
      <c r="U150" s="13"/>
      <c r="V150" s="14"/>
      <c r="W150" s="13"/>
      <c r="X150" s="7" t="str">
        <f aca="false">IF(D150="","",IF(AND(T150="Approved",U150&lt;&gt;"",V150&lt;&gt;""),"Ready","Not yet"))</f>
        <v/>
      </c>
      <c r="Y150" s="7" t="str">
        <f aca="false">IF(N150="","",IF(COUNTIF($N$2:$N$201,N150)&gt;1,"Shares group: never same board",""))</f>
        <v/>
      </c>
    </row>
    <row r="151" customFormat="false" ht="15" hidden="false" customHeight="true" outlineLevel="0" collapsed="false">
      <c r="A151" s="13"/>
      <c r="B151" s="13"/>
      <c r="C151" s="13"/>
      <c r="D151" s="13"/>
      <c r="E151" s="13"/>
      <c r="F151" s="13"/>
      <c r="G151" s="13"/>
      <c r="H151" s="13"/>
      <c r="I151" s="13"/>
      <c r="J151" s="13"/>
      <c r="K151" s="13"/>
      <c r="L151" s="13"/>
      <c r="M151" s="13"/>
      <c r="N151" s="13"/>
      <c r="O151" s="13"/>
      <c r="P151" s="13"/>
      <c r="Q151" s="13"/>
      <c r="R151" s="13"/>
      <c r="S151" s="13"/>
      <c r="T151" s="13"/>
      <c r="U151" s="13"/>
      <c r="V151" s="14"/>
      <c r="W151" s="13"/>
      <c r="X151" s="7" t="str">
        <f aca="false">IF(D151="","",IF(AND(T151="Approved",U151&lt;&gt;"",V151&lt;&gt;""),"Ready","Not yet"))</f>
        <v/>
      </c>
      <c r="Y151" s="7" t="str">
        <f aca="false">IF(N151="","",IF(COUNTIF($N$2:$N$201,N151)&gt;1,"Shares group: never same board",""))</f>
        <v/>
      </c>
    </row>
    <row r="152" customFormat="false" ht="15" hidden="false" customHeight="true" outlineLevel="0" collapsed="false">
      <c r="A152" s="13"/>
      <c r="B152" s="13"/>
      <c r="C152" s="13"/>
      <c r="D152" s="13"/>
      <c r="E152" s="13"/>
      <c r="F152" s="13"/>
      <c r="G152" s="13"/>
      <c r="H152" s="13"/>
      <c r="I152" s="13"/>
      <c r="J152" s="13"/>
      <c r="K152" s="13"/>
      <c r="L152" s="13"/>
      <c r="M152" s="13"/>
      <c r="N152" s="13"/>
      <c r="O152" s="13"/>
      <c r="P152" s="13"/>
      <c r="Q152" s="13"/>
      <c r="R152" s="13"/>
      <c r="S152" s="13"/>
      <c r="T152" s="13"/>
      <c r="U152" s="13"/>
      <c r="V152" s="14"/>
      <c r="W152" s="13"/>
      <c r="X152" s="7" t="str">
        <f aca="false">IF(D152="","",IF(AND(T152="Approved",U152&lt;&gt;"",V152&lt;&gt;""),"Ready","Not yet"))</f>
        <v/>
      </c>
      <c r="Y152" s="7" t="str">
        <f aca="false">IF(N152="","",IF(COUNTIF($N$2:$N$201,N152)&gt;1,"Shares group: never same board",""))</f>
        <v/>
      </c>
    </row>
    <row r="153" customFormat="false" ht="15" hidden="false" customHeight="true" outlineLevel="0" collapsed="false">
      <c r="A153" s="13"/>
      <c r="B153" s="13"/>
      <c r="C153" s="13"/>
      <c r="D153" s="13"/>
      <c r="E153" s="13"/>
      <c r="F153" s="13"/>
      <c r="G153" s="13"/>
      <c r="H153" s="13"/>
      <c r="I153" s="13"/>
      <c r="J153" s="13"/>
      <c r="K153" s="13"/>
      <c r="L153" s="13"/>
      <c r="M153" s="13"/>
      <c r="N153" s="13"/>
      <c r="O153" s="13"/>
      <c r="P153" s="13"/>
      <c r="Q153" s="13"/>
      <c r="R153" s="13"/>
      <c r="S153" s="13"/>
      <c r="T153" s="13"/>
      <c r="U153" s="13"/>
      <c r="V153" s="14"/>
      <c r="W153" s="13"/>
      <c r="X153" s="7" t="str">
        <f aca="false">IF(D153="","",IF(AND(T153="Approved",U153&lt;&gt;"",V153&lt;&gt;""),"Ready","Not yet"))</f>
        <v/>
      </c>
      <c r="Y153" s="7" t="str">
        <f aca="false">IF(N153="","",IF(COUNTIF($N$2:$N$201,N153)&gt;1,"Shares group: never same board",""))</f>
        <v/>
      </c>
    </row>
    <row r="154" customFormat="false" ht="15" hidden="false" customHeight="true" outlineLevel="0" collapsed="false">
      <c r="A154" s="13"/>
      <c r="B154" s="13"/>
      <c r="C154" s="13"/>
      <c r="D154" s="13"/>
      <c r="E154" s="13"/>
      <c r="F154" s="13"/>
      <c r="G154" s="13"/>
      <c r="H154" s="13"/>
      <c r="I154" s="13"/>
      <c r="J154" s="13"/>
      <c r="K154" s="13"/>
      <c r="L154" s="13"/>
      <c r="M154" s="13"/>
      <c r="N154" s="13"/>
      <c r="O154" s="13"/>
      <c r="P154" s="13"/>
      <c r="Q154" s="13"/>
      <c r="R154" s="13"/>
      <c r="S154" s="13"/>
      <c r="T154" s="13"/>
      <c r="U154" s="13"/>
      <c r="V154" s="14"/>
      <c r="W154" s="13"/>
      <c r="X154" s="7" t="str">
        <f aca="false">IF(D154="","",IF(AND(T154="Approved",U154&lt;&gt;"",V154&lt;&gt;""),"Ready","Not yet"))</f>
        <v/>
      </c>
      <c r="Y154" s="7" t="str">
        <f aca="false">IF(N154="","",IF(COUNTIF($N$2:$N$201,N154)&gt;1,"Shares group: never same board",""))</f>
        <v/>
      </c>
    </row>
    <row r="155" customFormat="false" ht="15" hidden="false" customHeight="true" outlineLevel="0" collapsed="false">
      <c r="A155" s="13"/>
      <c r="B155" s="13"/>
      <c r="C155" s="13"/>
      <c r="D155" s="13"/>
      <c r="E155" s="13"/>
      <c r="F155" s="13"/>
      <c r="G155" s="13"/>
      <c r="H155" s="13"/>
      <c r="I155" s="13"/>
      <c r="J155" s="13"/>
      <c r="K155" s="13"/>
      <c r="L155" s="13"/>
      <c r="M155" s="13"/>
      <c r="N155" s="13"/>
      <c r="O155" s="13"/>
      <c r="P155" s="13"/>
      <c r="Q155" s="13"/>
      <c r="R155" s="13"/>
      <c r="S155" s="13"/>
      <c r="T155" s="13"/>
      <c r="U155" s="13"/>
      <c r="V155" s="14"/>
      <c r="W155" s="13"/>
      <c r="X155" s="7" t="str">
        <f aca="false">IF(D155="","",IF(AND(T155="Approved",U155&lt;&gt;"",V155&lt;&gt;""),"Ready","Not yet"))</f>
        <v/>
      </c>
      <c r="Y155" s="7" t="str">
        <f aca="false">IF(N155="","",IF(COUNTIF($N$2:$N$201,N155)&gt;1,"Shares group: never same board",""))</f>
        <v/>
      </c>
    </row>
    <row r="156" customFormat="false" ht="15" hidden="false" customHeight="true" outlineLevel="0" collapsed="false">
      <c r="A156" s="13"/>
      <c r="B156" s="13"/>
      <c r="C156" s="13"/>
      <c r="D156" s="13"/>
      <c r="E156" s="13"/>
      <c r="F156" s="13"/>
      <c r="G156" s="13"/>
      <c r="H156" s="13"/>
      <c r="I156" s="13"/>
      <c r="J156" s="13"/>
      <c r="K156" s="13"/>
      <c r="L156" s="13"/>
      <c r="M156" s="13"/>
      <c r="N156" s="13"/>
      <c r="O156" s="13"/>
      <c r="P156" s="13"/>
      <c r="Q156" s="13"/>
      <c r="R156" s="13"/>
      <c r="S156" s="13"/>
      <c r="T156" s="13"/>
      <c r="U156" s="13"/>
      <c r="V156" s="14"/>
      <c r="W156" s="13"/>
      <c r="X156" s="7" t="str">
        <f aca="false">IF(D156="","",IF(AND(T156="Approved",U156&lt;&gt;"",V156&lt;&gt;""),"Ready","Not yet"))</f>
        <v/>
      </c>
      <c r="Y156" s="7" t="str">
        <f aca="false">IF(N156="","",IF(COUNTIF($N$2:$N$201,N156)&gt;1,"Shares group: never same board",""))</f>
        <v/>
      </c>
    </row>
    <row r="157" customFormat="false" ht="15" hidden="false" customHeight="true" outlineLevel="0" collapsed="false">
      <c r="A157" s="13"/>
      <c r="B157" s="13"/>
      <c r="C157" s="13"/>
      <c r="D157" s="13"/>
      <c r="E157" s="13"/>
      <c r="F157" s="13"/>
      <c r="G157" s="13"/>
      <c r="H157" s="13"/>
      <c r="I157" s="13"/>
      <c r="J157" s="13"/>
      <c r="K157" s="13"/>
      <c r="L157" s="13"/>
      <c r="M157" s="13"/>
      <c r="N157" s="13"/>
      <c r="O157" s="13"/>
      <c r="P157" s="13"/>
      <c r="Q157" s="13"/>
      <c r="R157" s="13"/>
      <c r="S157" s="13"/>
      <c r="T157" s="13"/>
      <c r="U157" s="13"/>
      <c r="V157" s="14"/>
      <c r="W157" s="13"/>
      <c r="X157" s="7" t="str">
        <f aca="false">IF(D157="","",IF(AND(T157="Approved",U157&lt;&gt;"",V157&lt;&gt;""),"Ready","Not yet"))</f>
        <v/>
      </c>
      <c r="Y157" s="7" t="str">
        <f aca="false">IF(N157="","",IF(COUNTIF($N$2:$N$201,N157)&gt;1,"Shares group: never same board",""))</f>
        <v/>
      </c>
    </row>
    <row r="158" customFormat="false" ht="15" hidden="false" customHeight="true" outlineLevel="0" collapsed="false">
      <c r="A158" s="13"/>
      <c r="B158" s="13"/>
      <c r="C158" s="13"/>
      <c r="D158" s="13"/>
      <c r="E158" s="13"/>
      <c r="F158" s="13"/>
      <c r="G158" s="13"/>
      <c r="H158" s="13"/>
      <c r="I158" s="13"/>
      <c r="J158" s="13"/>
      <c r="K158" s="13"/>
      <c r="L158" s="13"/>
      <c r="M158" s="13"/>
      <c r="N158" s="13"/>
      <c r="O158" s="13"/>
      <c r="P158" s="13"/>
      <c r="Q158" s="13"/>
      <c r="R158" s="13"/>
      <c r="S158" s="13"/>
      <c r="T158" s="13"/>
      <c r="U158" s="13"/>
      <c r="V158" s="14"/>
      <c r="W158" s="13"/>
      <c r="X158" s="7" t="str">
        <f aca="false">IF(D158="","",IF(AND(T158="Approved",U158&lt;&gt;"",V158&lt;&gt;""),"Ready","Not yet"))</f>
        <v/>
      </c>
      <c r="Y158" s="7" t="str">
        <f aca="false">IF(N158="","",IF(COUNTIF($N$2:$N$201,N158)&gt;1,"Shares group: never same board",""))</f>
        <v/>
      </c>
    </row>
    <row r="159" customFormat="false" ht="15" hidden="false" customHeight="true" outlineLevel="0" collapsed="false">
      <c r="A159" s="13"/>
      <c r="B159" s="13"/>
      <c r="C159" s="13"/>
      <c r="D159" s="13"/>
      <c r="E159" s="13"/>
      <c r="F159" s="13"/>
      <c r="G159" s="13"/>
      <c r="H159" s="13"/>
      <c r="I159" s="13"/>
      <c r="J159" s="13"/>
      <c r="K159" s="13"/>
      <c r="L159" s="13"/>
      <c r="M159" s="13"/>
      <c r="N159" s="13"/>
      <c r="O159" s="13"/>
      <c r="P159" s="13"/>
      <c r="Q159" s="13"/>
      <c r="R159" s="13"/>
      <c r="S159" s="13"/>
      <c r="T159" s="13"/>
      <c r="U159" s="13"/>
      <c r="V159" s="14"/>
      <c r="W159" s="13"/>
      <c r="X159" s="7" t="str">
        <f aca="false">IF(D159="","",IF(AND(T159="Approved",U159&lt;&gt;"",V159&lt;&gt;""),"Ready","Not yet"))</f>
        <v/>
      </c>
      <c r="Y159" s="7" t="str">
        <f aca="false">IF(N159="","",IF(COUNTIF($N$2:$N$201,N159)&gt;1,"Shares group: never same board",""))</f>
        <v/>
      </c>
    </row>
    <row r="160" customFormat="false" ht="15" hidden="false" customHeight="true" outlineLevel="0" collapsed="false">
      <c r="A160" s="13"/>
      <c r="B160" s="13"/>
      <c r="C160" s="13"/>
      <c r="D160" s="13"/>
      <c r="E160" s="13"/>
      <c r="F160" s="13"/>
      <c r="G160" s="13"/>
      <c r="H160" s="13"/>
      <c r="I160" s="13"/>
      <c r="J160" s="13"/>
      <c r="K160" s="13"/>
      <c r="L160" s="13"/>
      <c r="M160" s="13"/>
      <c r="N160" s="13"/>
      <c r="O160" s="13"/>
      <c r="P160" s="13"/>
      <c r="Q160" s="13"/>
      <c r="R160" s="13"/>
      <c r="S160" s="13"/>
      <c r="T160" s="13"/>
      <c r="U160" s="13"/>
      <c r="V160" s="14"/>
      <c r="W160" s="13"/>
      <c r="X160" s="7" t="str">
        <f aca="false">IF(D160="","",IF(AND(T160="Approved",U160&lt;&gt;"",V160&lt;&gt;""),"Ready","Not yet"))</f>
        <v/>
      </c>
      <c r="Y160" s="7" t="str">
        <f aca="false">IF(N160="","",IF(COUNTIF($N$2:$N$201,N160)&gt;1,"Shares group: never same board",""))</f>
        <v/>
      </c>
    </row>
    <row r="161" customFormat="false" ht="15" hidden="false" customHeight="true" outlineLevel="0" collapsed="false">
      <c r="A161" s="13"/>
      <c r="B161" s="13"/>
      <c r="C161" s="13"/>
      <c r="D161" s="13"/>
      <c r="E161" s="13"/>
      <c r="F161" s="13"/>
      <c r="G161" s="13"/>
      <c r="H161" s="13"/>
      <c r="I161" s="13"/>
      <c r="J161" s="13"/>
      <c r="K161" s="13"/>
      <c r="L161" s="13"/>
      <c r="M161" s="13"/>
      <c r="N161" s="13"/>
      <c r="O161" s="13"/>
      <c r="P161" s="13"/>
      <c r="Q161" s="13"/>
      <c r="R161" s="13"/>
      <c r="S161" s="13"/>
      <c r="T161" s="13"/>
      <c r="U161" s="13"/>
      <c r="V161" s="14"/>
      <c r="W161" s="13"/>
      <c r="X161" s="7" t="str">
        <f aca="false">IF(D161="","",IF(AND(T161="Approved",U161&lt;&gt;"",V161&lt;&gt;""),"Ready","Not yet"))</f>
        <v/>
      </c>
      <c r="Y161" s="7" t="str">
        <f aca="false">IF(N161="","",IF(COUNTIF($N$2:$N$201,N161)&gt;1,"Shares group: never same board",""))</f>
        <v/>
      </c>
    </row>
    <row r="162" customFormat="false" ht="15" hidden="false" customHeight="true" outlineLevel="0" collapsed="false">
      <c r="A162" s="13"/>
      <c r="B162" s="13"/>
      <c r="C162" s="13"/>
      <c r="D162" s="13"/>
      <c r="E162" s="13"/>
      <c r="F162" s="13"/>
      <c r="G162" s="13"/>
      <c r="H162" s="13"/>
      <c r="I162" s="13"/>
      <c r="J162" s="13"/>
      <c r="K162" s="13"/>
      <c r="L162" s="13"/>
      <c r="M162" s="13"/>
      <c r="N162" s="13"/>
      <c r="O162" s="13"/>
      <c r="P162" s="13"/>
      <c r="Q162" s="13"/>
      <c r="R162" s="13"/>
      <c r="S162" s="13"/>
      <c r="T162" s="13"/>
      <c r="U162" s="13"/>
      <c r="V162" s="14"/>
      <c r="W162" s="13"/>
      <c r="X162" s="7" t="str">
        <f aca="false">IF(D162="","",IF(AND(T162="Approved",U162&lt;&gt;"",V162&lt;&gt;""),"Ready","Not yet"))</f>
        <v/>
      </c>
      <c r="Y162" s="7" t="str">
        <f aca="false">IF(N162="","",IF(COUNTIF($N$2:$N$201,N162)&gt;1,"Shares group: never same board",""))</f>
        <v/>
      </c>
    </row>
    <row r="163" customFormat="false" ht="15" hidden="false" customHeight="true" outlineLevel="0" collapsed="false">
      <c r="A163" s="13"/>
      <c r="B163" s="13"/>
      <c r="C163" s="13"/>
      <c r="D163" s="13"/>
      <c r="E163" s="13"/>
      <c r="F163" s="13"/>
      <c r="G163" s="13"/>
      <c r="H163" s="13"/>
      <c r="I163" s="13"/>
      <c r="J163" s="13"/>
      <c r="K163" s="13"/>
      <c r="L163" s="13"/>
      <c r="M163" s="13"/>
      <c r="N163" s="13"/>
      <c r="O163" s="13"/>
      <c r="P163" s="13"/>
      <c r="Q163" s="13"/>
      <c r="R163" s="13"/>
      <c r="S163" s="13"/>
      <c r="T163" s="13"/>
      <c r="U163" s="13"/>
      <c r="V163" s="14"/>
      <c r="W163" s="13"/>
      <c r="X163" s="7" t="str">
        <f aca="false">IF(D163="","",IF(AND(T163="Approved",U163&lt;&gt;"",V163&lt;&gt;""),"Ready","Not yet"))</f>
        <v/>
      </c>
      <c r="Y163" s="7" t="str">
        <f aca="false">IF(N163="","",IF(COUNTIF($N$2:$N$201,N163)&gt;1,"Shares group: never same board",""))</f>
        <v/>
      </c>
    </row>
    <row r="164" customFormat="false" ht="15" hidden="false" customHeight="true" outlineLevel="0" collapsed="false">
      <c r="A164" s="13"/>
      <c r="B164" s="13"/>
      <c r="C164" s="13"/>
      <c r="D164" s="13"/>
      <c r="E164" s="13"/>
      <c r="F164" s="13"/>
      <c r="G164" s="13"/>
      <c r="H164" s="13"/>
      <c r="I164" s="13"/>
      <c r="J164" s="13"/>
      <c r="K164" s="13"/>
      <c r="L164" s="13"/>
      <c r="M164" s="13"/>
      <c r="N164" s="13"/>
      <c r="O164" s="13"/>
      <c r="P164" s="13"/>
      <c r="Q164" s="13"/>
      <c r="R164" s="13"/>
      <c r="S164" s="13"/>
      <c r="T164" s="13"/>
      <c r="U164" s="13"/>
      <c r="V164" s="14"/>
      <c r="W164" s="13"/>
      <c r="X164" s="7" t="str">
        <f aca="false">IF(D164="","",IF(AND(T164="Approved",U164&lt;&gt;"",V164&lt;&gt;""),"Ready","Not yet"))</f>
        <v/>
      </c>
      <c r="Y164" s="7" t="str">
        <f aca="false">IF(N164="","",IF(COUNTIF($N$2:$N$201,N164)&gt;1,"Shares group: never same board",""))</f>
        <v/>
      </c>
    </row>
    <row r="165" customFormat="false" ht="15" hidden="false" customHeight="true" outlineLevel="0" collapsed="false">
      <c r="A165" s="13"/>
      <c r="B165" s="13"/>
      <c r="C165" s="13"/>
      <c r="D165" s="13"/>
      <c r="E165" s="13"/>
      <c r="F165" s="13"/>
      <c r="G165" s="13"/>
      <c r="H165" s="13"/>
      <c r="I165" s="13"/>
      <c r="J165" s="13"/>
      <c r="K165" s="13"/>
      <c r="L165" s="13"/>
      <c r="M165" s="13"/>
      <c r="N165" s="13"/>
      <c r="O165" s="13"/>
      <c r="P165" s="13"/>
      <c r="Q165" s="13"/>
      <c r="R165" s="13"/>
      <c r="S165" s="13"/>
      <c r="T165" s="13"/>
      <c r="U165" s="13"/>
      <c r="V165" s="14"/>
      <c r="W165" s="13"/>
      <c r="X165" s="7" t="str">
        <f aca="false">IF(D165="","",IF(AND(T165="Approved",U165&lt;&gt;"",V165&lt;&gt;""),"Ready","Not yet"))</f>
        <v/>
      </c>
      <c r="Y165" s="7" t="str">
        <f aca="false">IF(N165="","",IF(COUNTIF($N$2:$N$201,N165)&gt;1,"Shares group: never same board",""))</f>
        <v/>
      </c>
    </row>
    <row r="166" customFormat="false" ht="15" hidden="false" customHeight="true" outlineLevel="0" collapsed="false">
      <c r="A166" s="13"/>
      <c r="B166" s="13"/>
      <c r="C166" s="13"/>
      <c r="D166" s="13"/>
      <c r="E166" s="13"/>
      <c r="F166" s="13"/>
      <c r="G166" s="13"/>
      <c r="H166" s="13"/>
      <c r="I166" s="13"/>
      <c r="J166" s="13"/>
      <c r="K166" s="13"/>
      <c r="L166" s="13"/>
      <c r="M166" s="13"/>
      <c r="N166" s="13"/>
      <c r="O166" s="13"/>
      <c r="P166" s="13"/>
      <c r="Q166" s="13"/>
      <c r="R166" s="13"/>
      <c r="S166" s="13"/>
      <c r="T166" s="13"/>
      <c r="U166" s="13"/>
      <c r="V166" s="14"/>
      <c r="W166" s="13"/>
      <c r="X166" s="7" t="str">
        <f aca="false">IF(D166="","",IF(AND(T166="Approved",U166&lt;&gt;"",V166&lt;&gt;""),"Ready","Not yet"))</f>
        <v/>
      </c>
      <c r="Y166" s="7" t="str">
        <f aca="false">IF(N166="","",IF(COUNTIF($N$2:$N$201,N166)&gt;1,"Shares group: never same board",""))</f>
        <v/>
      </c>
    </row>
    <row r="167" customFormat="false" ht="15" hidden="false" customHeight="true" outlineLevel="0" collapsed="false">
      <c r="A167" s="13"/>
      <c r="B167" s="13"/>
      <c r="C167" s="13"/>
      <c r="D167" s="13"/>
      <c r="E167" s="13"/>
      <c r="F167" s="13"/>
      <c r="G167" s="13"/>
      <c r="H167" s="13"/>
      <c r="I167" s="13"/>
      <c r="J167" s="13"/>
      <c r="K167" s="13"/>
      <c r="L167" s="13"/>
      <c r="M167" s="13"/>
      <c r="N167" s="13"/>
      <c r="O167" s="13"/>
      <c r="P167" s="13"/>
      <c r="Q167" s="13"/>
      <c r="R167" s="13"/>
      <c r="S167" s="13"/>
      <c r="T167" s="13"/>
      <c r="U167" s="13"/>
      <c r="V167" s="14"/>
      <c r="W167" s="13"/>
      <c r="X167" s="7" t="str">
        <f aca="false">IF(D167="","",IF(AND(T167="Approved",U167&lt;&gt;"",V167&lt;&gt;""),"Ready","Not yet"))</f>
        <v/>
      </c>
      <c r="Y167" s="7" t="str">
        <f aca="false">IF(N167="","",IF(COUNTIF($N$2:$N$201,N167)&gt;1,"Shares group: never same board",""))</f>
        <v/>
      </c>
    </row>
    <row r="168" customFormat="false" ht="15" hidden="false" customHeight="true" outlineLevel="0" collapsed="false">
      <c r="A168" s="13"/>
      <c r="B168" s="13"/>
      <c r="C168" s="13"/>
      <c r="D168" s="13"/>
      <c r="E168" s="13"/>
      <c r="F168" s="13"/>
      <c r="G168" s="13"/>
      <c r="H168" s="13"/>
      <c r="I168" s="13"/>
      <c r="J168" s="13"/>
      <c r="K168" s="13"/>
      <c r="L168" s="13"/>
      <c r="M168" s="13"/>
      <c r="N168" s="13"/>
      <c r="O168" s="13"/>
      <c r="P168" s="13"/>
      <c r="Q168" s="13"/>
      <c r="R168" s="13"/>
      <c r="S168" s="13"/>
      <c r="T168" s="13"/>
      <c r="U168" s="13"/>
      <c r="V168" s="14"/>
      <c r="W168" s="13"/>
      <c r="X168" s="7" t="str">
        <f aca="false">IF(D168="","",IF(AND(T168="Approved",U168&lt;&gt;"",V168&lt;&gt;""),"Ready","Not yet"))</f>
        <v/>
      </c>
      <c r="Y168" s="7" t="str">
        <f aca="false">IF(N168="","",IF(COUNTIF($N$2:$N$201,N168)&gt;1,"Shares group: never same board",""))</f>
        <v/>
      </c>
    </row>
    <row r="169" customFormat="false" ht="15" hidden="false" customHeight="true" outlineLevel="0" collapsed="false">
      <c r="A169" s="13"/>
      <c r="B169" s="13"/>
      <c r="C169" s="13"/>
      <c r="D169" s="13"/>
      <c r="E169" s="13"/>
      <c r="F169" s="13"/>
      <c r="G169" s="13"/>
      <c r="H169" s="13"/>
      <c r="I169" s="13"/>
      <c r="J169" s="13"/>
      <c r="K169" s="13"/>
      <c r="L169" s="13"/>
      <c r="M169" s="13"/>
      <c r="N169" s="13"/>
      <c r="O169" s="13"/>
      <c r="P169" s="13"/>
      <c r="Q169" s="13"/>
      <c r="R169" s="13"/>
      <c r="S169" s="13"/>
      <c r="T169" s="13"/>
      <c r="U169" s="13"/>
      <c r="V169" s="14"/>
      <c r="W169" s="13"/>
      <c r="X169" s="7" t="str">
        <f aca="false">IF(D169="","",IF(AND(T169="Approved",U169&lt;&gt;"",V169&lt;&gt;""),"Ready","Not yet"))</f>
        <v/>
      </c>
      <c r="Y169" s="7" t="str">
        <f aca="false">IF(N169="","",IF(COUNTIF($N$2:$N$201,N169)&gt;1,"Shares group: never same board",""))</f>
        <v/>
      </c>
    </row>
    <row r="170" customFormat="false" ht="15" hidden="false" customHeight="true" outlineLevel="0" collapsed="false">
      <c r="A170" s="13"/>
      <c r="B170" s="13"/>
      <c r="C170" s="13"/>
      <c r="D170" s="13"/>
      <c r="E170" s="13"/>
      <c r="F170" s="13"/>
      <c r="G170" s="13"/>
      <c r="H170" s="13"/>
      <c r="I170" s="13"/>
      <c r="J170" s="13"/>
      <c r="K170" s="13"/>
      <c r="L170" s="13"/>
      <c r="M170" s="13"/>
      <c r="N170" s="13"/>
      <c r="O170" s="13"/>
      <c r="P170" s="13"/>
      <c r="Q170" s="13"/>
      <c r="R170" s="13"/>
      <c r="S170" s="13"/>
      <c r="T170" s="13"/>
      <c r="U170" s="13"/>
      <c r="V170" s="14"/>
      <c r="W170" s="13"/>
      <c r="X170" s="7" t="str">
        <f aca="false">IF(D170="","",IF(AND(T170="Approved",U170&lt;&gt;"",V170&lt;&gt;""),"Ready","Not yet"))</f>
        <v/>
      </c>
      <c r="Y170" s="7" t="str">
        <f aca="false">IF(N170="","",IF(COUNTIF($N$2:$N$201,N170)&gt;1,"Shares group: never same board",""))</f>
        <v/>
      </c>
    </row>
    <row r="171" customFormat="false" ht="15" hidden="false" customHeight="true" outlineLevel="0" collapsed="false">
      <c r="A171" s="13"/>
      <c r="B171" s="13"/>
      <c r="C171" s="13"/>
      <c r="D171" s="13"/>
      <c r="E171" s="13"/>
      <c r="F171" s="13"/>
      <c r="G171" s="13"/>
      <c r="H171" s="13"/>
      <c r="I171" s="13"/>
      <c r="J171" s="13"/>
      <c r="K171" s="13"/>
      <c r="L171" s="13"/>
      <c r="M171" s="13"/>
      <c r="N171" s="13"/>
      <c r="O171" s="13"/>
      <c r="P171" s="13"/>
      <c r="Q171" s="13"/>
      <c r="R171" s="13"/>
      <c r="S171" s="13"/>
      <c r="T171" s="13"/>
      <c r="U171" s="13"/>
      <c r="V171" s="14"/>
      <c r="W171" s="13"/>
      <c r="X171" s="7" t="str">
        <f aca="false">IF(D171="","",IF(AND(T171="Approved",U171&lt;&gt;"",V171&lt;&gt;""),"Ready","Not yet"))</f>
        <v/>
      </c>
      <c r="Y171" s="7" t="str">
        <f aca="false">IF(N171="","",IF(COUNTIF($N$2:$N$201,N171)&gt;1,"Shares group: never same board",""))</f>
        <v/>
      </c>
    </row>
    <row r="172" customFormat="false" ht="15" hidden="false" customHeight="true" outlineLevel="0" collapsed="false">
      <c r="A172" s="13"/>
      <c r="B172" s="13"/>
      <c r="C172" s="13"/>
      <c r="D172" s="13"/>
      <c r="E172" s="13"/>
      <c r="F172" s="13"/>
      <c r="G172" s="13"/>
      <c r="H172" s="13"/>
      <c r="I172" s="13"/>
      <c r="J172" s="13"/>
      <c r="K172" s="13"/>
      <c r="L172" s="13"/>
      <c r="M172" s="13"/>
      <c r="N172" s="13"/>
      <c r="O172" s="13"/>
      <c r="P172" s="13"/>
      <c r="Q172" s="13"/>
      <c r="R172" s="13"/>
      <c r="S172" s="13"/>
      <c r="T172" s="13"/>
      <c r="U172" s="13"/>
      <c r="V172" s="14"/>
      <c r="W172" s="13"/>
      <c r="X172" s="7" t="str">
        <f aca="false">IF(D172="","",IF(AND(T172="Approved",U172&lt;&gt;"",V172&lt;&gt;""),"Ready","Not yet"))</f>
        <v/>
      </c>
      <c r="Y172" s="7" t="str">
        <f aca="false">IF(N172="","",IF(COUNTIF($N$2:$N$201,N172)&gt;1,"Shares group: never same board",""))</f>
        <v/>
      </c>
    </row>
    <row r="173" customFormat="false" ht="15" hidden="false" customHeight="true" outlineLevel="0" collapsed="false">
      <c r="A173" s="13"/>
      <c r="B173" s="13"/>
      <c r="C173" s="13"/>
      <c r="D173" s="13"/>
      <c r="E173" s="13"/>
      <c r="F173" s="13"/>
      <c r="G173" s="13"/>
      <c r="H173" s="13"/>
      <c r="I173" s="13"/>
      <c r="J173" s="13"/>
      <c r="K173" s="13"/>
      <c r="L173" s="13"/>
      <c r="M173" s="13"/>
      <c r="N173" s="13"/>
      <c r="O173" s="13"/>
      <c r="P173" s="13"/>
      <c r="Q173" s="13"/>
      <c r="R173" s="13"/>
      <c r="S173" s="13"/>
      <c r="T173" s="13"/>
      <c r="U173" s="13"/>
      <c r="V173" s="14"/>
      <c r="W173" s="13"/>
      <c r="X173" s="7" t="str">
        <f aca="false">IF(D173="","",IF(AND(T173="Approved",U173&lt;&gt;"",V173&lt;&gt;""),"Ready","Not yet"))</f>
        <v/>
      </c>
      <c r="Y173" s="7" t="str">
        <f aca="false">IF(N173="","",IF(COUNTIF($N$2:$N$201,N173)&gt;1,"Shares group: never same board",""))</f>
        <v/>
      </c>
    </row>
    <row r="174" customFormat="false" ht="15" hidden="false" customHeight="true" outlineLevel="0" collapsed="false">
      <c r="A174" s="13"/>
      <c r="B174" s="13"/>
      <c r="C174" s="13"/>
      <c r="D174" s="13"/>
      <c r="E174" s="13"/>
      <c r="F174" s="13"/>
      <c r="G174" s="13"/>
      <c r="H174" s="13"/>
      <c r="I174" s="13"/>
      <c r="J174" s="13"/>
      <c r="K174" s="13"/>
      <c r="L174" s="13"/>
      <c r="M174" s="13"/>
      <c r="N174" s="13"/>
      <c r="O174" s="13"/>
      <c r="P174" s="13"/>
      <c r="Q174" s="13"/>
      <c r="R174" s="13"/>
      <c r="S174" s="13"/>
      <c r="T174" s="13"/>
      <c r="U174" s="13"/>
      <c r="V174" s="14"/>
      <c r="W174" s="13"/>
      <c r="X174" s="7" t="str">
        <f aca="false">IF(D174="","",IF(AND(T174="Approved",U174&lt;&gt;"",V174&lt;&gt;""),"Ready","Not yet"))</f>
        <v/>
      </c>
      <c r="Y174" s="7" t="str">
        <f aca="false">IF(N174="","",IF(COUNTIF($N$2:$N$201,N174)&gt;1,"Shares group: never same board",""))</f>
        <v/>
      </c>
    </row>
    <row r="175" customFormat="false" ht="15" hidden="false" customHeight="true" outlineLevel="0" collapsed="false">
      <c r="A175" s="13"/>
      <c r="B175" s="13"/>
      <c r="C175" s="13"/>
      <c r="D175" s="13"/>
      <c r="E175" s="13"/>
      <c r="F175" s="13"/>
      <c r="G175" s="13"/>
      <c r="H175" s="13"/>
      <c r="I175" s="13"/>
      <c r="J175" s="13"/>
      <c r="K175" s="13"/>
      <c r="L175" s="13"/>
      <c r="M175" s="13"/>
      <c r="N175" s="13"/>
      <c r="O175" s="13"/>
      <c r="P175" s="13"/>
      <c r="Q175" s="13"/>
      <c r="R175" s="13"/>
      <c r="S175" s="13"/>
      <c r="T175" s="13"/>
      <c r="U175" s="13"/>
      <c r="V175" s="14"/>
      <c r="W175" s="13"/>
      <c r="X175" s="7" t="str">
        <f aca="false">IF(D175="","",IF(AND(T175="Approved",U175&lt;&gt;"",V175&lt;&gt;""),"Ready","Not yet"))</f>
        <v/>
      </c>
      <c r="Y175" s="7" t="str">
        <f aca="false">IF(N175="","",IF(COUNTIF($N$2:$N$201,N175)&gt;1,"Shares group: never same board",""))</f>
        <v/>
      </c>
    </row>
    <row r="176" customFormat="false" ht="15" hidden="false" customHeight="true" outlineLevel="0" collapsed="false">
      <c r="A176" s="13"/>
      <c r="B176" s="13"/>
      <c r="C176" s="13"/>
      <c r="D176" s="13"/>
      <c r="E176" s="13"/>
      <c r="F176" s="13"/>
      <c r="G176" s="13"/>
      <c r="H176" s="13"/>
      <c r="I176" s="13"/>
      <c r="J176" s="13"/>
      <c r="K176" s="13"/>
      <c r="L176" s="13"/>
      <c r="M176" s="13"/>
      <c r="N176" s="13"/>
      <c r="O176" s="13"/>
      <c r="P176" s="13"/>
      <c r="Q176" s="13"/>
      <c r="R176" s="13"/>
      <c r="S176" s="13"/>
      <c r="T176" s="13"/>
      <c r="U176" s="13"/>
      <c r="V176" s="14"/>
      <c r="W176" s="13"/>
      <c r="X176" s="7" t="str">
        <f aca="false">IF(D176="","",IF(AND(T176="Approved",U176&lt;&gt;"",V176&lt;&gt;""),"Ready","Not yet"))</f>
        <v/>
      </c>
      <c r="Y176" s="7" t="str">
        <f aca="false">IF(N176="","",IF(COUNTIF($N$2:$N$201,N176)&gt;1,"Shares group: never same board",""))</f>
        <v/>
      </c>
    </row>
    <row r="177" customFormat="false" ht="15" hidden="false" customHeight="true" outlineLevel="0" collapsed="false">
      <c r="A177" s="13"/>
      <c r="B177" s="13"/>
      <c r="C177" s="13"/>
      <c r="D177" s="13"/>
      <c r="E177" s="13"/>
      <c r="F177" s="13"/>
      <c r="G177" s="13"/>
      <c r="H177" s="13"/>
      <c r="I177" s="13"/>
      <c r="J177" s="13"/>
      <c r="K177" s="13"/>
      <c r="L177" s="13"/>
      <c r="M177" s="13"/>
      <c r="N177" s="13"/>
      <c r="O177" s="13"/>
      <c r="P177" s="13"/>
      <c r="Q177" s="13"/>
      <c r="R177" s="13"/>
      <c r="S177" s="13"/>
      <c r="T177" s="13"/>
      <c r="U177" s="13"/>
      <c r="V177" s="14"/>
      <c r="W177" s="13"/>
      <c r="X177" s="7" t="str">
        <f aca="false">IF(D177="","",IF(AND(T177="Approved",U177&lt;&gt;"",V177&lt;&gt;""),"Ready","Not yet"))</f>
        <v/>
      </c>
      <c r="Y177" s="7" t="str">
        <f aca="false">IF(N177="","",IF(COUNTIF($N$2:$N$201,N177)&gt;1,"Shares group: never same board",""))</f>
        <v/>
      </c>
    </row>
    <row r="178" customFormat="false" ht="15" hidden="false" customHeight="true" outlineLevel="0" collapsed="false">
      <c r="A178" s="13"/>
      <c r="B178" s="13"/>
      <c r="C178" s="13"/>
      <c r="D178" s="13"/>
      <c r="E178" s="13"/>
      <c r="F178" s="13"/>
      <c r="G178" s="13"/>
      <c r="H178" s="13"/>
      <c r="I178" s="13"/>
      <c r="J178" s="13"/>
      <c r="K178" s="13"/>
      <c r="L178" s="13"/>
      <c r="M178" s="13"/>
      <c r="N178" s="13"/>
      <c r="O178" s="13"/>
      <c r="P178" s="13"/>
      <c r="Q178" s="13"/>
      <c r="R178" s="13"/>
      <c r="S178" s="13"/>
      <c r="T178" s="13"/>
      <c r="U178" s="13"/>
      <c r="V178" s="14"/>
      <c r="W178" s="13"/>
      <c r="X178" s="7" t="str">
        <f aca="false">IF(D178="","",IF(AND(T178="Approved",U178&lt;&gt;"",V178&lt;&gt;""),"Ready","Not yet"))</f>
        <v/>
      </c>
      <c r="Y178" s="7" t="str">
        <f aca="false">IF(N178="","",IF(COUNTIF($N$2:$N$201,N178)&gt;1,"Shares group: never same board",""))</f>
        <v/>
      </c>
    </row>
    <row r="179" customFormat="false" ht="15" hidden="false" customHeight="true" outlineLevel="0" collapsed="false">
      <c r="A179" s="13"/>
      <c r="B179" s="13"/>
      <c r="C179" s="13"/>
      <c r="D179" s="13"/>
      <c r="E179" s="13"/>
      <c r="F179" s="13"/>
      <c r="G179" s="13"/>
      <c r="H179" s="13"/>
      <c r="I179" s="13"/>
      <c r="J179" s="13"/>
      <c r="K179" s="13"/>
      <c r="L179" s="13"/>
      <c r="M179" s="13"/>
      <c r="N179" s="13"/>
      <c r="O179" s="13"/>
      <c r="P179" s="13"/>
      <c r="Q179" s="13"/>
      <c r="R179" s="13"/>
      <c r="S179" s="13"/>
      <c r="T179" s="13"/>
      <c r="U179" s="13"/>
      <c r="V179" s="14"/>
      <c r="W179" s="13"/>
      <c r="X179" s="7" t="str">
        <f aca="false">IF(D179="","",IF(AND(T179="Approved",U179&lt;&gt;"",V179&lt;&gt;""),"Ready","Not yet"))</f>
        <v/>
      </c>
      <c r="Y179" s="7" t="str">
        <f aca="false">IF(N179="","",IF(COUNTIF($N$2:$N$201,N179)&gt;1,"Shares group: never same board",""))</f>
        <v/>
      </c>
    </row>
    <row r="180" customFormat="false" ht="15" hidden="false" customHeight="true" outlineLevel="0" collapsed="false">
      <c r="A180" s="13"/>
      <c r="B180" s="13"/>
      <c r="C180" s="13"/>
      <c r="D180" s="13"/>
      <c r="E180" s="13"/>
      <c r="F180" s="13"/>
      <c r="G180" s="13"/>
      <c r="H180" s="13"/>
      <c r="I180" s="13"/>
      <c r="J180" s="13"/>
      <c r="K180" s="13"/>
      <c r="L180" s="13"/>
      <c r="M180" s="13"/>
      <c r="N180" s="13"/>
      <c r="O180" s="13"/>
      <c r="P180" s="13"/>
      <c r="Q180" s="13"/>
      <c r="R180" s="13"/>
      <c r="S180" s="13"/>
      <c r="T180" s="13"/>
      <c r="U180" s="13"/>
      <c r="V180" s="14"/>
      <c r="W180" s="13"/>
      <c r="X180" s="7" t="str">
        <f aca="false">IF(D180="","",IF(AND(T180="Approved",U180&lt;&gt;"",V180&lt;&gt;""),"Ready","Not yet"))</f>
        <v/>
      </c>
      <c r="Y180" s="7" t="str">
        <f aca="false">IF(N180="","",IF(COUNTIF($N$2:$N$201,N180)&gt;1,"Shares group: never same board",""))</f>
        <v/>
      </c>
    </row>
    <row r="181" customFormat="false" ht="15" hidden="false" customHeight="true" outlineLevel="0" collapsed="false">
      <c r="A181" s="13"/>
      <c r="B181" s="13"/>
      <c r="C181" s="13"/>
      <c r="D181" s="13"/>
      <c r="E181" s="13"/>
      <c r="F181" s="13"/>
      <c r="G181" s="13"/>
      <c r="H181" s="13"/>
      <c r="I181" s="13"/>
      <c r="J181" s="13"/>
      <c r="K181" s="13"/>
      <c r="L181" s="13"/>
      <c r="M181" s="13"/>
      <c r="N181" s="13"/>
      <c r="O181" s="13"/>
      <c r="P181" s="13"/>
      <c r="Q181" s="13"/>
      <c r="R181" s="13"/>
      <c r="S181" s="13"/>
      <c r="T181" s="13"/>
      <c r="U181" s="13"/>
      <c r="V181" s="14"/>
      <c r="W181" s="13"/>
      <c r="X181" s="7" t="str">
        <f aca="false">IF(D181="","",IF(AND(T181="Approved",U181&lt;&gt;"",V181&lt;&gt;""),"Ready","Not yet"))</f>
        <v/>
      </c>
      <c r="Y181" s="7" t="str">
        <f aca="false">IF(N181="","",IF(COUNTIF($N$2:$N$201,N181)&gt;1,"Shares group: never same board",""))</f>
        <v/>
      </c>
    </row>
    <row r="182" customFormat="false" ht="15" hidden="false" customHeight="true" outlineLevel="0" collapsed="false">
      <c r="A182" s="13"/>
      <c r="B182" s="13"/>
      <c r="C182" s="13"/>
      <c r="D182" s="13"/>
      <c r="E182" s="13"/>
      <c r="F182" s="13"/>
      <c r="G182" s="13"/>
      <c r="H182" s="13"/>
      <c r="I182" s="13"/>
      <c r="J182" s="13"/>
      <c r="K182" s="13"/>
      <c r="L182" s="13"/>
      <c r="M182" s="13"/>
      <c r="N182" s="13"/>
      <c r="O182" s="13"/>
      <c r="P182" s="13"/>
      <c r="Q182" s="13"/>
      <c r="R182" s="13"/>
      <c r="S182" s="13"/>
      <c r="T182" s="13"/>
      <c r="U182" s="13"/>
      <c r="V182" s="14"/>
      <c r="W182" s="13"/>
      <c r="X182" s="7" t="str">
        <f aca="false">IF(D182="","",IF(AND(T182="Approved",U182&lt;&gt;"",V182&lt;&gt;""),"Ready","Not yet"))</f>
        <v/>
      </c>
      <c r="Y182" s="7" t="str">
        <f aca="false">IF(N182="","",IF(COUNTIF($N$2:$N$201,N182)&gt;1,"Shares group: never same board",""))</f>
        <v/>
      </c>
    </row>
    <row r="183" customFormat="false" ht="15" hidden="false" customHeight="true" outlineLevel="0" collapsed="false">
      <c r="A183" s="13"/>
      <c r="B183" s="13"/>
      <c r="C183" s="13"/>
      <c r="D183" s="13"/>
      <c r="E183" s="13"/>
      <c r="F183" s="13"/>
      <c r="G183" s="13"/>
      <c r="H183" s="13"/>
      <c r="I183" s="13"/>
      <c r="J183" s="13"/>
      <c r="K183" s="13"/>
      <c r="L183" s="13"/>
      <c r="M183" s="13"/>
      <c r="N183" s="13"/>
      <c r="O183" s="13"/>
      <c r="P183" s="13"/>
      <c r="Q183" s="13"/>
      <c r="R183" s="13"/>
      <c r="S183" s="13"/>
      <c r="T183" s="13"/>
      <c r="U183" s="13"/>
      <c r="V183" s="14"/>
      <c r="W183" s="13"/>
      <c r="X183" s="7" t="str">
        <f aca="false">IF(D183="","",IF(AND(T183="Approved",U183&lt;&gt;"",V183&lt;&gt;""),"Ready","Not yet"))</f>
        <v/>
      </c>
      <c r="Y183" s="7" t="str">
        <f aca="false">IF(N183="","",IF(COUNTIF($N$2:$N$201,N183)&gt;1,"Shares group: never same board",""))</f>
        <v/>
      </c>
    </row>
    <row r="184" customFormat="false" ht="15" hidden="false" customHeight="true" outlineLevel="0" collapsed="false">
      <c r="A184" s="13"/>
      <c r="B184" s="13"/>
      <c r="C184" s="13"/>
      <c r="D184" s="13"/>
      <c r="E184" s="13"/>
      <c r="F184" s="13"/>
      <c r="G184" s="13"/>
      <c r="H184" s="13"/>
      <c r="I184" s="13"/>
      <c r="J184" s="13"/>
      <c r="K184" s="13"/>
      <c r="L184" s="13"/>
      <c r="M184" s="13"/>
      <c r="N184" s="13"/>
      <c r="O184" s="13"/>
      <c r="P184" s="13"/>
      <c r="Q184" s="13"/>
      <c r="R184" s="13"/>
      <c r="S184" s="13"/>
      <c r="T184" s="13"/>
      <c r="U184" s="13"/>
      <c r="V184" s="14"/>
      <c r="W184" s="13"/>
      <c r="X184" s="7" t="str">
        <f aca="false">IF(D184="","",IF(AND(T184="Approved",U184&lt;&gt;"",V184&lt;&gt;""),"Ready","Not yet"))</f>
        <v/>
      </c>
      <c r="Y184" s="7" t="str">
        <f aca="false">IF(N184="","",IF(COUNTIF($N$2:$N$201,N184)&gt;1,"Shares group: never same board",""))</f>
        <v/>
      </c>
    </row>
    <row r="185" customFormat="false" ht="15" hidden="false" customHeight="true" outlineLevel="0" collapsed="false">
      <c r="A185" s="13"/>
      <c r="B185" s="13"/>
      <c r="C185" s="13"/>
      <c r="D185" s="13"/>
      <c r="E185" s="13"/>
      <c r="F185" s="13"/>
      <c r="G185" s="13"/>
      <c r="H185" s="13"/>
      <c r="I185" s="13"/>
      <c r="J185" s="13"/>
      <c r="K185" s="13"/>
      <c r="L185" s="13"/>
      <c r="M185" s="13"/>
      <c r="N185" s="13"/>
      <c r="O185" s="13"/>
      <c r="P185" s="13"/>
      <c r="Q185" s="13"/>
      <c r="R185" s="13"/>
      <c r="S185" s="13"/>
      <c r="T185" s="13"/>
      <c r="U185" s="13"/>
      <c r="V185" s="14"/>
      <c r="W185" s="13"/>
      <c r="X185" s="7" t="str">
        <f aca="false">IF(D185="","",IF(AND(T185="Approved",U185&lt;&gt;"",V185&lt;&gt;""),"Ready","Not yet"))</f>
        <v/>
      </c>
      <c r="Y185" s="7" t="str">
        <f aca="false">IF(N185="","",IF(COUNTIF($N$2:$N$201,N185)&gt;1,"Shares group: never same board",""))</f>
        <v/>
      </c>
    </row>
    <row r="186" customFormat="false" ht="15" hidden="false" customHeight="true" outlineLevel="0" collapsed="false">
      <c r="A186" s="13"/>
      <c r="B186" s="13"/>
      <c r="C186" s="13"/>
      <c r="D186" s="13"/>
      <c r="E186" s="13"/>
      <c r="F186" s="13"/>
      <c r="G186" s="13"/>
      <c r="H186" s="13"/>
      <c r="I186" s="13"/>
      <c r="J186" s="13"/>
      <c r="K186" s="13"/>
      <c r="L186" s="13"/>
      <c r="M186" s="13"/>
      <c r="N186" s="13"/>
      <c r="O186" s="13"/>
      <c r="P186" s="13"/>
      <c r="Q186" s="13"/>
      <c r="R186" s="13"/>
      <c r="S186" s="13"/>
      <c r="T186" s="13"/>
      <c r="U186" s="13"/>
      <c r="V186" s="14"/>
      <c r="W186" s="13"/>
      <c r="X186" s="7" t="str">
        <f aca="false">IF(D186="","",IF(AND(T186="Approved",U186&lt;&gt;"",V186&lt;&gt;""),"Ready","Not yet"))</f>
        <v/>
      </c>
      <c r="Y186" s="7" t="str">
        <f aca="false">IF(N186="","",IF(COUNTIF($N$2:$N$201,N186)&gt;1,"Shares group: never same board",""))</f>
        <v/>
      </c>
    </row>
    <row r="187" customFormat="false" ht="15" hidden="false" customHeight="true" outlineLevel="0" collapsed="false">
      <c r="A187" s="13"/>
      <c r="B187" s="13"/>
      <c r="C187" s="13"/>
      <c r="D187" s="13"/>
      <c r="E187" s="13"/>
      <c r="F187" s="13"/>
      <c r="G187" s="13"/>
      <c r="H187" s="13"/>
      <c r="I187" s="13"/>
      <c r="J187" s="13"/>
      <c r="K187" s="13"/>
      <c r="L187" s="13"/>
      <c r="M187" s="13"/>
      <c r="N187" s="13"/>
      <c r="O187" s="13"/>
      <c r="P187" s="13"/>
      <c r="Q187" s="13"/>
      <c r="R187" s="13"/>
      <c r="S187" s="13"/>
      <c r="T187" s="13"/>
      <c r="U187" s="13"/>
      <c r="V187" s="14"/>
      <c r="W187" s="13"/>
      <c r="X187" s="7" t="str">
        <f aca="false">IF(D187="","",IF(AND(T187="Approved",U187&lt;&gt;"",V187&lt;&gt;""),"Ready","Not yet"))</f>
        <v/>
      </c>
      <c r="Y187" s="7" t="str">
        <f aca="false">IF(N187="","",IF(COUNTIF($N$2:$N$201,N187)&gt;1,"Shares group: never same board",""))</f>
        <v/>
      </c>
    </row>
    <row r="188" customFormat="false" ht="15" hidden="false" customHeight="true" outlineLevel="0" collapsed="false">
      <c r="A188" s="13"/>
      <c r="B188" s="13"/>
      <c r="C188" s="13"/>
      <c r="D188" s="13"/>
      <c r="E188" s="13"/>
      <c r="F188" s="13"/>
      <c r="G188" s="13"/>
      <c r="H188" s="13"/>
      <c r="I188" s="13"/>
      <c r="J188" s="13"/>
      <c r="K188" s="13"/>
      <c r="L188" s="13"/>
      <c r="M188" s="13"/>
      <c r="N188" s="13"/>
      <c r="O188" s="13"/>
      <c r="P188" s="13"/>
      <c r="Q188" s="13"/>
      <c r="R188" s="13"/>
      <c r="S188" s="13"/>
      <c r="T188" s="13"/>
      <c r="U188" s="13"/>
      <c r="V188" s="14"/>
      <c r="W188" s="13"/>
      <c r="X188" s="7" t="str">
        <f aca="false">IF(D188="","",IF(AND(T188="Approved",U188&lt;&gt;"",V188&lt;&gt;""),"Ready","Not yet"))</f>
        <v/>
      </c>
      <c r="Y188" s="7" t="str">
        <f aca="false">IF(N188="","",IF(COUNTIF($N$2:$N$201,N188)&gt;1,"Shares group: never same board",""))</f>
        <v/>
      </c>
    </row>
    <row r="189" customFormat="false" ht="15" hidden="false" customHeight="true" outlineLevel="0" collapsed="false">
      <c r="A189" s="13"/>
      <c r="B189" s="13"/>
      <c r="C189" s="13"/>
      <c r="D189" s="13"/>
      <c r="E189" s="13"/>
      <c r="F189" s="13"/>
      <c r="G189" s="13"/>
      <c r="H189" s="13"/>
      <c r="I189" s="13"/>
      <c r="J189" s="13"/>
      <c r="K189" s="13"/>
      <c r="L189" s="13"/>
      <c r="M189" s="13"/>
      <c r="N189" s="13"/>
      <c r="O189" s="13"/>
      <c r="P189" s="13"/>
      <c r="Q189" s="13"/>
      <c r="R189" s="13"/>
      <c r="S189" s="13"/>
      <c r="T189" s="13"/>
      <c r="U189" s="13"/>
      <c r="V189" s="14"/>
      <c r="W189" s="13"/>
      <c r="X189" s="7" t="str">
        <f aca="false">IF(D189="","",IF(AND(T189="Approved",U189&lt;&gt;"",V189&lt;&gt;""),"Ready","Not yet"))</f>
        <v/>
      </c>
      <c r="Y189" s="7" t="str">
        <f aca="false">IF(N189="","",IF(COUNTIF($N$2:$N$201,N189)&gt;1,"Shares group: never same board",""))</f>
        <v/>
      </c>
    </row>
    <row r="190" customFormat="false" ht="15" hidden="false" customHeight="true" outlineLevel="0" collapsed="false">
      <c r="A190" s="13"/>
      <c r="B190" s="13"/>
      <c r="C190" s="13"/>
      <c r="D190" s="13"/>
      <c r="E190" s="13"/>
      <c r="F190" s="13"/>
      <c r="G190" s="13"/>
      <c r="H190" s="13"/>
      <c r="I190" s="13"/>
      <c r="J190" s="13"/>
      <c r="K190" s="13"/>
      <c r="L190" s="13"/>
      <c r="M190" s="13"/>
      <c r="N190" s="13"/>
      <c r="O190" s="13"/>
      <c r="P190" s="13"/>
      <c r="Q190" s="13"/>
      <c r="R190" s="13"/>
      <c r="S190" s="13"/>
      <c r="T190" s="13"/>
      <c r="U190" s="13"/>
      <c r="V190" s="14"/>
      <c r="W190" s="13"/>
      <c r="X190" s="7" t="str">
        <f aca="false">IF(D190="","",IF(AND(T190="Approved",U190&lt;&gt;"",V190&lt;&gt;""),"Ready","Not yet"))</f>
        <v/>
      </c>
      <c r="Y190" s="7" t="str">
        <f aca="false">IF(N190="","",IF(COUNTIF($N$2:$N$201,N190)&gt;1,"Shares group: never same board",""))</f>
        <v/>
      </c>
    </row>
    <row r="191" customFormat="false" ht="15" hidden="false" customHeight="true" outlineLevel="0" collapsed="false">
      <c r="A191" s="13"/>
      <c r="B191" s="13"/>
      <c r="C191" s="13"/>
      <c r="D191" s="13"/>
      <c r="E191" s="13"/>
      <c r="F191" s="13"/>
      <c r="G191" s="13"/>
      <c r="H191" s="13"/>
      <c r="I191" s="13"/>
      <c r="J191" s="13"/>
      <c r="K191" s="13"/>
      <c r="L191" s="13"/>
      <c r="M191" s="13"/>
      <c r="N191" s="13"/>
      <c r="O191" s="13"/>
      <c r="P191" s="13"/>
      <c r="Q191" s="13"/>
      <c r="R191" s="13"/>
      <c r="S191" s="13"/>
      <c r="T191" s="13"/>
      <c r="U191" s="13"/>
      <c r="V191" s="14"/>
      <c r="W191" s="13"/>
      <c r="X191" s="7" t="str">
        <f aca="false">IF(D191="","",IF(AND(T191="Approved",U191&lt;&gt;"",V191&lt;&gt;""),"Ready","Not yet"))</f>
        <v/>
      </c>
      <c r="Y191" s="7" t="str">
        <f aca="false">IF(N191="","",IF(COUNTIF($N$2:$N$201,N191)&gt;1,"Shares group: never same board",""))</f>
        <v/>
      </c>
    </row>
    <row r="192" customFormat="false" ht="15" hidden="false" customHeight="true" outlineLevel="0" collapsed="false">
      <c r="A192" s="13"/>
      <c r="B192" s="13"/>
      <c r="C192" s="13"/>
      <c r="D192" s="13"/>
      <c r="E192" s="13"/>
      <c r="F192" s="13"/>
      <c r="G192" s="13"/>
      <c r="H192" s="13"/>
      <c r="I192" s="13"/>
      <c r="J192" s="13"/>
      <c r="K192" s="13"/>
      <c r="L192" s="13"/>
      <c r="M192" s="13"/>
      <c r="N192" s="13"/>
      <c r="O192" s="13"/>
      <c r="P192" s="13"/>
      <c r="Q192" s="13"/>
      <c r="R192" s="13"/>
      <c r="S192" s="13"/>
      <c r="T192" s="13"/>
      <c r="U192" s="13"/>
      <c r="V192" s="14"/>
      <c r="W192" s="13"/>
      <c r="X192" s="7" t="str">
        <f aca="false">IF(D192="","",IF(AND(T192="Approved",U192&lt;&gt;"",V192&lt;&gt;""),"Ready","Not yet"))</f>
        <v/>
      </c>
      <c r="Y192" s="7" t="str">
        <f aca="false">IF(N192="","",IF(COUNTIF($N$2:$N$201,N192)&gt;1,"Shares group: never same board",""))</f>
        <v/>
      </c>
    </row>
    <row r="193" customFormat="false" ht="15" hidden="false" customHeight="true" outlineLevel="0" collapsed="false">
      <c r="A193" s="13"/>
      <c r="B193" s="13"/>
      <c r="C193" s="13"/>
      <c r="D193" s="13"/>
      <c r="E193" s="13"/>
      <c r="F193" s="13"/>
      <c r="G193" s="13"/>
      <c r="H193" s="13"/>
      <c r="I193" s="13"/>
      <c r="J193" s="13"/>
      <c r="K193" s="13"/>
      <c r="L193" s="13"/>
      <c r="M193" s="13"/>
      <c r="N193" s="13"/>
      <c r="O193" s="13"/>
      <c r="P193" s="13"/>
      <c r="Q193" s="13"/>
      <c r="R193" s="13"/>
      <c r="S193" s="13"/>
      <c r="T193" s="13"/>
      <c r="U193" s="13"/>
      <c r="V193" s="14"/>
      <c r="W193" s="13"/>
      <c r="X193" s="7" t="str">
        <f aca="false">IF(D193="","",IF(AND(T193="Approved",U193&lt;&gt;"",V193&lt;&gt;""),"Ready","Not yet"))</f>
        <v/>
      </c>
      <c r="Y193" s="7" t="str">
        <f aca="false">IF(N193="","",IF(COUNTIF($N$2:$N$201,N193)&gt;1,"Shares group: never same board",""))</f>
        <v/>
      </c>
    </row>
    <row r="194" customFormat="false" ht="15" hidden="false" customHeight="true" outlineLevel="0" collapsed="false">
      <c r="A194" s="13"/>
      <c r="B194" s="13"/>
      <c r="C194" s="13"/>
      <c r="D194" s="13"/>
      <c r="E194" s="13"/>
      <c r="F194" s="13"/>
      <c r="G194" s="13"/>
      <c r="H194" s="13"/>
      <c r="I194" s="13"/>
      <c r="J194" s="13"/>
      <c r="K194" s="13"/>
      <c r="L194" s="13"/>
      <c r="M194" s="13"/>
      <c r="N194" s="13"/>
      <c r="O194" s="13"/>
      <c r="P194" s="13"/>
      <c r="Q194" s="13"/>
      <c r="R194" s="13"/>
      <c r="S194" s="13"/>
      <c r="T194" s="13"/>
      <c r="U194" s="13"/>
      <c r="V194" s="14"/>
      <c r="W194" s="13"/>
      <c r="X194" s="7" t="str">
        <f aca="false">IF(D194="","",IF(AND(T194="Approved",U194&lt;&gt;"",V194&lt;&gt;""),"Ready","Not yet"))</f>
        <v/>
      </c>
      <c r="Y194" s="7" t="str">
        <f aca="false">IF(N194="","",IF(COUNTIF($N$2:$N$201,N194)&gt;1,"Shares group: never same board",""))</f>
        <v/>
      </c>
    </row>
    <row r="195" customFormat="false" ht="15" hidden="false" customHeight="true" outlineLevel="0" collapsed="false">
      <c r="A195" s="13"/>
      <c r="B195" s="13"/>
      <c r="C195" s="13"/>
      <c r="D195" s="13"/>
      <c r="E195" s="13"/>
      <c r="F195" s="13"/>
      <c r="G195" s="13"/>
      <c r="H195" s="13"/>
      <c r="I195" s="13"/>
      <c r="J195" s="13"/>
      <c r="K195" s="13"/>
      <c r="L195" s="13"/>
      <c r="M195" s="13"/>
      <c r="N195" s="13"/>
      <c r="O195" s="13"/>
      <c r="P195" s="13"/>
      <c r="Q195" s="13"/>
      <c r="R195" s="13"/>
      <c r="S195" s="13"/>
      <c r="T195" s="13"/>
      <c r="U195" s="13"/>
      <c r="V195" s="14"/>
      <c r="W195" s="13"/>
      <c r="X195" s="7" t="str">
        <f aca="false">IF(D195="","",IF(AND(T195="Approved",U195&lt;&gt;"",V195&lt;&gt;""),"Ready","Not yet"))</f>
        <v/>
      </c>
      <c r="Y195" s="7" t="str">
        <f aca="false">IF(N195="","",IF(COUNTIF($N$2:$N$201,N195)&gt;1,"Shares group: never same board",""))</f>
        <v/>
      </c>
    </row>
    <row r="196" customFormat="false" ht="15" hidden="false" customHeight="true" outlineLevel="0" collapsed="false">
      <c r="A196" s="13"/>
      <c r="B196" s="13"/>
      <c r="C196" s="13"/>
      <c r="D196" s="13"/>
      <c r="E196" s="13"/>
      <c r="F196" s="13"/>
      <c r="G196" s="13"/>
      <c r="H196" s="13"/>
      <c r="I196" s="13"/>
      <c r="J196" s="13"/>
      <c r="K196" s="13"/>
      <c r="L196" s="13"/>
      <c r="M196" s="13"/>
      <c r="N196" s="13"/>
      <c r="O196" s="13"/>
      <c r="P196" s="13"/>
      <c r="Q196" s="13"/>
      <c r="R196" s="13"/>
      <c r="S196" s="13"/>
      <c r="T196" s="13"/>
      <c r="U196" s="13"/>
      <c r="V196" s="14"/>
      <c r="W196" s="13"/>
      <c r="X196" s="7" t="str">
        <f aca="false">IF(D196="","",IF(AND(T196="Approved",U196&lt;&gt;"",V196&lt;&gt;""),"Ready","Not yet"))</f>
        <v/>
      </c>
      <c r="Y196" s="7" t="str">
        <f aca="false">IF(N196="","",IF(COUNTIF($N$2:$N$201,N196)&gt;1,"Shares group: never same board",""))</f>
        <v/>
      </c>
    </row>
    <row r="197" customFormat="false" ht="15" hidden="false" customHeight="true" outlineLevel="0" collapsed="false">
      <c r="A197" s="13"/>
      <c r="B197" s="13"/>
      <c r="C197" s="13"/>
      <c r="D197" s="13"/>
      <c r="E197" s="13"/>
      <c r="F197" s="13"/>
      <c r="G197" s="13"/>
      <c r="H197" s="13"/>
      <c r="I197" s="13"/>
      <c r="J197" s="13"/>
      <c r="K197" s="13"/>
      <c r="L197" s="13"/>
      <c r="M197" s="13"/>
      <c r="N197" s="13"/>
      <c r="O197" s="13"/>
      <c r="P197" s="13"/>
      <c r="Q197" s="13"/>
      <c r="R197" s="13"/>
      <c r="S197" s="13"/>
      <c r="T197" s="13"/>
      <c r="U197" s="13"/>
      <c r="V197" s="14"/>
      <c r="W197" s="13"/>
      <c r="X197" s="7" t="str">
        <f aca="false">IF(D197="","",IF(AND(T197="Approved",U197&lt;&gt;"",V197&lt;&gt;""),"Ready","Not yet"))</f>
        <v/>
      </c>
      <c r="Y197" s="7" t="str">
        <f aca="false">IF(N197="","",IF(COUNTIF($N$2:$N$201,N197)&gt;1,"Shares group: never same board",""))</f>
        <v/>
      </c>
    </row>
    <row r="198" customFormat="false" ht="15" hidden="false" customHeight="true" outlineLevel="0" collapsed="false">
      <c r="A198" s="13"/>
      <c r="B198" s="13"/>
      <c r="C198" s="13"/>
      <c r="D198" s="13"/>
      <c r="E198" s="13"/>
      <c r="F198" s="13"/>
      <c r="G198" s="13"/>
      <c r="H198" s="13"/>
      <c r="I198" s="13"/>
      <c r="J198" s="13"/>
      <c r="K198" s="13"/>
      <c r="L198" s="13"/>
      <c r="M198" s="13"/>
      <c r="N198" s="13"/>
      <c r="O198" s="13"/>
      <c r="P198" s="13"/>
      <c r="Q198" s="13"/>
      <c r="R198" s="13"/>
      <c r="S198" s="13"/>
      <c r="T198" s="13"/>
      <c r="U198" s="13"/>
      <c r="V198" s="14"/>
      <c r="W198" s="13"/>
      <c r="X198" s="7" t="str">
        <f aca="false">IF(D198="","",IF(AND(T198="Approved",U198&lt;&gt;"",V198&lt;&gt;""),"Ready","Not yet"))</f>
        <v/>
      </c>
      <c r="Y198" s="7" t="str">
        <f aca="false">IF(N198="","",IF(COUNTIF($N$2:$N$201,N198)&gt;1,"Shares group: never same board",""))</f>
        <v/>
      </c>
    </row>
    <row r="199" customFormat="false" ht="15" hidden="false" customHeight="true" outlineLevel="0" collapsed="false">
      <c r="A199" s="13"/>
      <c r="B199" s="13"/>
      <c r="C199" s="13"/>
      <c r="D199" s="13"/>
      <c r="E199" s="13"/>
      <c r="F199" s="13"/>
      <c r="G199" s="13"/>
      <c r="H199" s="13"/>
      <c r="I199" s="13"/>
      <c r="J199" s="13"/>
      <c r="K199" s="13"/>
      <c r="L199" s="13"/>
      <c r="M199" s="13"/>
      <c r="N199" s="13"/>
      <c r="O199" s="13"/>
      <c r="P199" s="13"/>
      <c r="Q199" s="13"/>
      <c r="R199" s="13"/>
      <c r="S199" s="13"/>
      <c r="T199" s="13"/>
      <c r="U199" s="13"/>
      <c r="V199" s="14"/>
      <c r="W199" s="13"/>
      <c r="X199" s="7" t="str">
        <f aca="false">IF(D199="","",IF(AND(T199="Approved",U199&lt;&gt;"",V199&lt;&gt;""),"Ready","Not yet"))</f>
        <v/>
      </c>
      <c r="Y199" s="7" t="str">
        <f aca="false">IF(N199="","",IF(COUNTIF($N$2:$N$201,N199)&gt;1,"Shares group: never same board",""))</f>
        <v/>
      </c>
    </row>
    <row r="200" customFormat="false" ht="15" hidden="false" customHeight="true" outlineLevel="0" collapsed="false">
      <c r="A200" s="13"/>
      <c r="B200" s="13"/>
      <c r="C200" s="13"/>
      <c r="D200" s="13"/>
      <c r="E200" s="13"/>
      <c r="F200" s="13"/>
      <c r="G200" s="13"/>
      <c r="H200" s="13"/>
      <c r="I200" s="13"/>
      <c r="J200" s="13"/>
      <c r="K200" s="13"/>
      <c r="L200" s="13"/>
      <c r="M200" s="13"/>
      <c r="N200" s="13"/>
      <c r="O200" s="13"/>
      <c r="P200" s="13"/>
      <c r="Q200" s="13"/>
      <c r="R200" s="13"/>
      <c r="S200" s="13"/>
      <c r="T200" s="13"/>
      <c r="U200" s="13"/>
      <c r="V200" s="14"/>
      <c r="W200" s="13"/>
      <c r="X200" s="7" t="str">
        <f aca="false">IF(D200="","",IF(AND(T200="Approved",U200&lt;&gt;"",V200&lt;&gt;""),"Ready","Not yet"))</f>
        <v/>
      </c>
      <c r="Y200" s="7" t="str">
        <f aca="false">IF(N200="","",IF(COUNTIF($N$2:$N$201,N200)&gt;1,"Shares group: never same board",""))</f>
        <v/>
      </c>
    </row>
    <row r="201" customFormat="false" ht="15" hidden="false" customHeight="true" outlineLevel="0" collapsed="false">
      <c r="A201" s="13"/>
      <c r="B201" s="13"/>
      <c r="C201" s="13"/>
      <c r="D201" s="13"/>
      <c r="E201" s="13"/>
      <c r="F201" s="13"/>
      <c r="G201" s="13"/>
      <c r="H201" s="13"/>
      <c r="I201" s="13"/>
      <c r="J201" s="13"/>
      <c r="K201" s="13"/>
      <c r="L201" s="13"/>
      <c r="M201" s="13"/>
      <c r="N201" s="13"/>
      <c r="O201" s="13"/>
      <c r="P201" s="13"/>
      <c r="Q201" s="13"/>
      <c r="R201" s="13"/>
      <c r="S201" s="13"/>
      <c r="T201" s="13"/>
      <c r="U201" s="13"/>
      <c r="V201" s="14"/>
      <c r="W201" s="13"/>
      <c r="X201" s="7" t="str">
        <f aca="false">IF(D201="","",IF(AND(T201="Approved",U201&lt;&gt;"",V201&lt;&gt;""),"Ready","Not yet"))</f>
        <v/>
      </c>
      <c r="Y201" s="7" t="str">
        <f aca="false">IF(N201="","",IF(COUNTIF($N$2:$N$201,N201)&gt;1,"Shares group: never same board",""))</f>
        <v/>
      </c>
    </row>
  </sheetData>
  <autoFilter ref="A1:Y201"/>
  <dataValidations count="7">
    <dataValidation allowBlank="true" errorStyle="stop" operator="between" showDropDown="false" showErrorMessage="false" showInputMessage="false" sqref="B2:B201" type="list">
      <formula1>Lists!$A$2:$A$7</formula1>
      <formula2>0</formula2>
    </dataValidation>
    <dataValidation allowBlank="true" errorStyle="stop" operator="between" showDropDown="false" showErrorMessage="false" showInputMessage="false" sqref="C2:C201" type="list">
      <formula1>Lists!$G$2:$G$6</formula1>
      <formula2>0</formula2>
    </dataValidation>
    <dataValidation allowBlank="true" errorStyle="stop" operator="between" showDropDown="false" showErrorMessage="false" showInputMessage="false" sqref="E2:E201" type="list">
      <formula1>Lists!$C$2:$C$5</formula1>
      <formula2>0</formula2>
    </dataValidation>
    <dataValidation allowBlank="true" errorStyle="stop" operator="between" showDropDown="false" showErrorMessage="false" showInputMessage="false" sqref="G2:G201" type="list">
      <formula1>Lists!$D$2:$D$6</formula1>
      <formula2>0</formula2>
    </dataValidation>
    <dataValidation allowBlank="true" errorStyle="stop" operator="between" showDropDown="false" showErrorMessage="false" showInputMessage="false" sqref="I2:I201" type="list">
      <formula1>Lists!$H$2:$H$16</formula1>
      <formula2>0</formula2>
    </dataValidation>
    <dataValidation allowBlank="true" errorStyle="stop" operator="between" showDropDown="false" showErrorMessage="false" showInputMessage="false" sqref="R2:R201" type="list">
      <formula1>Lists!$F$2:$F$6</formula1>
      <formula2>0</formula2>
    </dataValidation>
    <dataValidation allowBlank="true" errorStyle="stop" operator="between" showDropDown="false" showErrorMessage="false" showInputMessage="false" sqref="T2:T201" type="list">
      <formula1>Lists!$E$2:$E$6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4"/>
    <col collapsed="false" customWidth="true" hidden="false" outlineLevel="0" max="3" min="3" style="1" width="18"/>
    <col collapsed="false" customWidth="true" hidden="false" outlineLevel="0" max="4" min="4" style="1" width="14"/>
    <col collapsed="false" customWidth="true" hidden="false" outlineLevel="0" max="6" min="5" style="1" width="20"/>
    <col collapsed="false" customWidth="true" hidden="false" outlineLevel="0" max="7" min="7" style="1" width="50"/>
    <col collapsed="false" customWidth="true" hidden="false" outlineLevel="0" max="8" min="8" style="1" width="40"/>
    <col collapsed="false" customWidth="true" hidden="false" outlineLevel="0" max="9" min="9" style="1" width="22"/>
    <col collapsed="false" customWidth="true" hidden="false" outlineLevel="0" max="11" min="10" style="1" width="14"/>
    <col collapsed="false" customWidth="true" hidden="false" outlineLevel="0" max="12" min="12" style="1" width="13"/>
    <col collapsed="false" customWidth="true" hidden="false" outlineLevel="0" max="13" min="13" style="1" width="14"/>
    <col collapsed="false" customWidth="true" hidden="false" outlineLevel="0" max="14" min="14" style="1" width="13"/>
    <col collapsed="false" customWidth="true" hidden="false" outlineLevel="0" max="15" min="15" style="1" width="30"/>
    <col collapsed="false" customWidth="true" hidden="false" outlineLevel="0" max="16" min="16" style="1" width="14"/>
  </cols>
  <sheetData>
    <row r="1" customFormat="false" ht="30" hidden="false" customHeight="true" outlineLevel="0" collapsed="false">
      <c r="A1" s="10" t="s">
        <v>803</v>
      </c>
      <c r="B1" s="10" t="s">
        <v>804</v>
      </c>
      <c r="C1" s="10" t="s">
        <v>805</v>
      </c>
      <c r="D1" s="10" t="s">
        <v>806</v>
      </c>
      <c r="E1" s="10" t="s">
        <v>807</v>
      </c>
      <c r="F1" s="10" t="s">
        <v>808</v>
      </c>
      <c r="G1" s="10" t="s">
        <v>809</v>
      </c>
      <c r="H1" s="10" t="s">
        <v>810</v>
      </c>
      <c r="I1" s="10" t="s">
        <v>43</v>
      </c>
      <c r="J1" s="10" t="s">
        <v>718</v>
      </c>
      <c r="K1" s="10" t="s">
        <v>46</v>
      </c>
      <c r="L1" s="10" t="s">
        <v>47</v>
      </c>
      <c r="M1" s="10" t="s">
        <v>48</v>
      </c>
      <c r="N1" s="10" t="s">
        <v>49</v>
      </c>
      <c r="O1" s="10" t="s">
        <v>50</v>
      </c>
      <c r="P1" s="10" t="s">
        <v>51</v>
      </c>
    </row>
    <row r="2" customFormat="false" ht="15" hidden="false" customHeight="true" outlineLevel="0" collapsed="false">
      <c r="A2" s="11" t="s">
        <v>811</v>
      </c>
      <c r="B2" s="11" t="s">
        <v>105</v>
      </c>
      <c r="C2" s="11" t="s">
        <v>812</v>
      </c>
      <c r="D2" s="11"/>
      <c r="E2" s="11" t="s">
        <v>813</v>
      </c>
      <c r="F2" s="11"/>
      <c r="G2" s="11" t="s">
        <v>814</v>
      </c>
      <c r="H2" s="11"/>
      <c r="I2" s="11" t="s">
        <v>108</v>
      </c>
      <c r="J2" s="11" t="s">
        <v>728</v>
      </c>
      <c r="K2" s="11" t="s">
        <v>59</v>
      </c>
      <c r="L2" s="11" t="s">
        <v>60</v>
      </c>
      <c r="M2" s="11"/>
      <c r="N2" s="15"/>
      <c r="O2" s="11"/>
      <c r="P2" s="7" t="str">
        <f aca="false">IF(B2="","",IF(AND(L2="Approved",M2&lt;&gt;"",N2&lt;&gt;""),"Ready","Not yet"))</f>
        <v>Not yet</v>
      </c>
    </row>
    <row r="3" customFormat="false" ht="15" hidden="false" customHeight="true" outlineLevel="0" collapsed="false">
      <c r="A3" s="11" t="s">
        <v>815</v>
      </c>
      <c r="B3" s="11" t="s">
        <v>116</v>
      </c>
      <c r="C3" s="11" t="s">
        <v>812</v>
      </c>
      <c r="D3" s="11"/>
      <c r="E3" s="11" t="s">
        <v>813</v>
      </c>
      <c r="F3" s="11"/>
      <c r="G3" s="11" t="s">
        <v>816</v>
      </c>
      <c r="H3" s="11"/>
      <c r="I3" s="11" t="s">
        <v>118</v>
      </c>
      <c r="J3" s="11" t="s">
        <v>728</v>
      </c>
      <c r="K3" s="11" t="s">
        <v>59</v>
      </c>
      <c r="L3" s="11" t="s">
        <v>60</v>
      </c>
      <c r="M3" s="11"/>
      <c r="N3" s="15"/>
      <c r="O3" s="11"/>
      <c r="P3" s="7" t="str">
        <f aca="false">IF(B3="","",IF(AND(L3="Approved",M3&lt;&gt;"",N3&lt;&gt;""),"Ready","Not yet"))</f>
        <v>Not yet</v>
      </c>
    </row>
    <row r="4" customFormat="false" ht="15" hidden="false" customHeight="true" outlineLevel="0" collapsed="false">
      <c r="A4" s="11" t="s">
        <v>817</v>
      </c>
      <c r="B4" s="11" t="s">
        <v>121</v>
      </c>
      <c r="C4" s="11" t="s">
        <v>812</v>
      </c>
      <c r="D4" s="11"/>
      <c r="E4" s="11" t="s">
        <v>813</v>
      </c>
      <c r="F4" s="11"/>
      <c r="G4" s="11" t="s">
        <v>818</v>
      </c>
      <c r="H4" s="11"/>
      <c r="I4" s="11" t="s">
        <v>123</v>
      </c>
      <c r="J4" s="11" t="s">
        <v>728</v>
      </c>
      <c r="K4" s="11" t="s">
        <v>59</v>
      </c>
      <c r="L4" s="11" t="s">
        <v>60</v>
      </c>
      <c r="M4" s="11"/>
      <c r="N4" s="15"/>
      <c r="O4" s="11"/>
      <c r="P4" s="7" t="str">
        <f aca="false">IF(B4="","",IF(AND(L4="Approved",M4&lt;&gt;"",N4&lt;&gt;""),"Ready","Not yet"))</f>
        <v>Not yet</v>
      </c>
    </row>
    <row r="5" customFormat="false" ht="15" hidden="false" customHeight="true" outlineLevel="0" collapsed="false">
      <c r="A5" s="11" t="s">
        <v>819</v>
      </c>
      <c r="B5" s="11" t="s">
        <v>126</v>
      </c>
      <c r="C5" s="11" t="s">
        <v>812</v>
      </c>
      <c r="D5" s="11"/>
      <c r="E5" s="11" t="s">
        <v>813</v>
      </c>
      <c r="F5" s="11"/>
      <c r="G5" s="11" t="s">
        <v>820</v>
      </c>
      <c r="H5" s="11"/>
      <c r="I5" s="11" t="s">
        <v>128</v>
      </c>
      <c r="J5" s="11" t="s">
        <v>728</v>
      </c>
      <c r="K5" s="11" t="s">
        <v>59</v>
      </c>
      <c r="L5" s="11" t="s">
        <v>60</v>
      </c>
      <c r="M5" s="11"/>
      <c r="N5" s="15"/>
      <c r="O5" s="11"/>
      <c r="P5" s="7" t="str">
        <f aca="false">IF(B5="","",IF(AND(L5="Approved",M5&lt;&gt;"",N5&lt;&gt;""),"Ready","Not yet"))</f>
        <v>Not yet</v>
      </c>
    </row>
    <row r="6" customFormat="false" ht="15" hidden="false" customHeight="true" outlineLevel="0" collapsed="false">
      <c r="A6" s="11" t="s">
        <v>821</v>
      </c>
      <c r="B6" s="11" t="s">
        <v>180</v>
      </c>
      <c r="C6" s="11" t="s">
        <v>812</v>
      </c>
      <c r="D6" s="11"/>
      <c r="E6" s="11" t="s">
        <v>813</v>
      </c>
      <c r="F6" s="11"/>
      <c r="G6" s="11" t="s">
        <v>822</v>
      </c>
      <c r="H6" s="11"/>
      <c r="I6" s="11" t="s">
        <v>182</v>
      </c>
      <c r="J6" s="11" t="s">
        <v>728</v>
      </c>
      <c r="K6" s="11" t="s">
        <v>59</v>
      </c>
      <c r="L6" s="11" t="s">
        <v>60</v>
      </c>
      <c r="M6" s="11"/>
      <c r="N6" s="15"/>
      <c r="O6" s="11"/>
      <c r="P6" s="7" t="str">
        <f aca="false">IF(B6="","",IF(AND(L6="Approved",M6&lt;&gt;"",N6&lt;&gt;""),"Ready","Not yet"))</f>
        <v>Not yet</v>
      </c>
    </row>
    <row r="7" customFormat="false" ht="15" hidden="false" customHeight="true" outlineLevel="0" collapsed="false">
      <c r="A7" s="11" t="s">
        <v>823</v>
      </c>
      <c r="B7" s="11" t="s">
        <v>206</v>
      </c>
      <c r="C7" s="11" t="s">
        <v>812</v>
      </c>
      <c r="D7" s="11"/>
      <c r="E7" s="11" t="s">
        <v>813</v>
      </c>
      <c r="F7" s="11"/>
      <c r="G7" s="11" t="s">
        <v>824</v>
      </c>
      <c r="H7" s="11"/>
      <c r="I7" s="11" t="s">
        <v>208</v>
      </c>
      <c r="J7" s="11" t="s">
        <v>728</v>
      </c>
      <c r="K7" s="11" t="s">
        <v>59</v>
      </c>
      <c r="L7" s="11" t="s">
        <v>60</v>
      </c>
      <c r="M7" s="11"/>
      <c r="N7" s="15"/>
      <c r="O7" s="11"/>
      <c r="P7" s="7" t="str">
        <f aca="false">IF(B7="","",IF(AND(L7="Approved",M7&lt;&gt;"",N7&lt;&gt;""),"Ready","Not yet"))</f>
        <v>Not yet</v>
      </c>
    </row>
    <row r="8" customFormat="false" ht="23.25" hidden="false" customHeight="true" outlineLevel="0" collapsed="false">
      <c r="A8" s="11" t="s">
        <v>825</v>
      </c>
      <c r="B8" s="11" t="s">
        <v>826</v>
      </c>
      <c r="C8" s="11" t="s">
        <v>827</v>
      </c>
      <c r="D8" s="11"/>
      <c r="E8" s="11" t="s">
        <v>813</v>
      </c>
      <c r="F8" s="11"/>
      <c r="G8" s="11" t="s">
        <v>828</v>
      </c>
      <c r="H8" s="11"/>
      <c r="I8" s="11" t="s">
        <v>829</v>
      </c>
      <c r="J8" s="11" t="s">
        <v>728</v>
      </c>
      <c r="K8" s="11" t="s">
        <v>59</v>
      </c>
      <c r="L8" s="11" t="s">
        <v>60</v>
      </c>
      <c r="M8" s="11"/>
      <c r="N8" s="15"/>
      <c r="O8" s="11"/>
      <c r="P8" s="7" t="str">
        <f aca="false">IF(B8="","",IF(AND(L8="Approved",M8&lt;&gt;"",N8&lt;&gt;""),"Ready","Not yet"))</f>
        <v>Not yet</v>
      </c>
    </row>
    <row r="9" customFormat="false" ht="15" hidden="false" customHeight="true" outlineLevel="0" collapsed="false">
      <c r="A9" s="11" t="s">
        <v>830</v>
      </c>
      <c r="B9" s="11" t="s">
        <v>831</v>
      </c>
      <c r="C9" s="11" t="s">
        <v>827</v>
      </c>
      <c r="D9" s="11"/>
      <c r="E9" s="11" t="s">
        <v>813</v>
      </c>
      <c r="F9" s="11"/>
      <c r="G9" s="11" t="s">
        <v>832</v>
      </c>
      <c r="H9" s="11"/>
      <c r="I9" s="11" t="s">
        <v>833</v>
      </c>
      <c r="J9" s="11" t="s">
        <v>728</v>
      </c>
      <c r="K9" s="11" t="s">
        <v>59</v>
      </c>
      <c r="L9" s="11" t="s">
        <v>60</v>
      </c>
      <c r="M9" s="11"/>
      <c r="N9" s="15"/>
      <c r="O9" s="11"/>
      <c r="P9" s="7" t="str">
        <f aca="false">IF(B9="","",IF(AND(L9="Approved",M9&lt;&gt;"",N9&lt;&gt;""),"Ready","Not yet"))</f>
        <v>Not yet</v>
      </c>
    </row>
    <row r="10" customFormat="false" ht="15" hidden="false" customHeight="true" outlineLevel="0" collapsed="false">
      <c r="A10" s="11" t="s">
        <v>834</v>
      </c>
      <c r="B10" s="11" t="s">
        <v>835</v>
      </c>
      <c r="C10" s="11" t="s">
        <v>827</v>
      </c>
      <c r="D10" s="11"/>
      <c r="E10" s="11" t="s">
        <v>813</v>
      </c>
      <c r="F10" s="11"/>
      <c r="G10" s="11" t="s">
        <v>836</v>
      </c>
      <c r="H10" s="11"/>
      <c r="I10" s="11" t="s">
        <v>837</v>
      </c>
      <c r="J10" s="11" t="s">
        <v>728</v>
      </c>
      <c r="K10" s="11" t="s">
        <v>59</v>
      </c>
      <c r="L10" s="11" t="s">
        <v>60</v>
      </c>
      <c r="M10" s="11"/>
      <c r="N10" s="15"/>
      <c r="O10" s="11"/>
      <c r="P10" s="7" t="str">
        <f aca="false">IF(B10="","",IF(AND(L10="Approved",M10&lt;&gt;"",N10&lt;&gt;""),"Ready","Not yet"))</f>
        <v>Not yet</v>
      </c>
    </row>
    <row r="11" customFormat="false" ht="23.25" hidden="false" customHeight="true" outlineLevel="0" collapsed="false">
      <c r="A11" s="11" t="s">
        <v>838</v>
      </c>
      <c r="B11" s="11" t="s">
        <v>839</v>
      </c>
      <c r="C11" s="11" t="s">
        <v>840</v>
      </c>
      <c r="D11" s="11"/>
      <c r="E11" s="11" t="s">
        <v>813</v>
      </c>
      <c r="F11" s="11"/>
      <c r="G11" s="11" t="s">
        <v>841</v>
      </c>
      <c r="H11" s="11"/>
      <c r="I11" s="11"/>
      <c r="J11" s="11" t="s">
        <v>728</v>
      </c>
      <c r="K11" s="11" t="s">
        <v>59</v>
      </c>
      <c r="L11" s="11" t="s">
        <v>60</v>
      </c>
      <c r="M11" s="11"/>
      <c r="N11" s="15"/>
      <c r="O11" s="11"/>
      <c r="P11" s="7" t="str">
        <f aca="false">IF(B11="","",IF(AND(L11="Approved",M11&lt;&gt;"",N11&lt;&gt;""),"Ready","Not yet"))</f>
        <v>Not yet</v>
      </c>
    </row>
    <row r="12" customFormat="false" ht="15" hidden="false" customHeight="true" outlineLevel="0" collapsed="false">
      <c r="A12" s="11" t="s">
        <v>842</v>
      </c>
      <c r="B12" s="11" t="s">
        <v>107</v>
      </c>
      <c r="C12" s="11" t="s">
        <v>843</v>
      </c>
      <c r="D12" s="11" t="s">
        <v>724</v>
      </c>
      <c r="E12" s="11" t="s">
        <v>813</v>
      </c>
      <c r="F12" s="11"/>
      <c r="G12" s="11" t="s">
        <v>844</v>
      </c>
      <c r="H12" s="11"/>
      <c r="I12" s="11"/>
      <c r="J12" s="11" t="s">
        <v>728</v>
      </c>
      <c r="K12" s="11" t="s">
        <v>59</v>
      </c>
      <c r="L12" s="11" t="s">
        <v>60</v>
      </c>
      <c r="M12" s="11"/>
      <c r="N12" s="15"/>
      <c r="O12" s="11"/>
      <c r="P12" s="7" t="str">
        <f aca="false">IF(B12="","",IF(AND(L12="Approved",M12&lt;&gt;"",N12&lt;&gt;""),"Ready","Not yet"))</f>
        <v>Not yet</v>
      </c>
    </row>
    <row r="13" customFormat="false" ht="15" hidden="false" customHeight="true" outlineLevel="0" collapsed="false">
      <c r="A13" s="11" t="s">
        <v>845</v>
      </c>
      <c r="B13" s="11" t="s">
        <v>117</v>
      </c>
      <c r="C13" s="11" t="s">
        <v>843</v>
      </c>
      <c r="D13" s="11" t="s">
        <v>730</v>
      </c>
      <c r="E13" s="11" t="s">
        <v>813</v>
      </c>
      <c r="F13" s="11"/>
      <c r="G13" s="11" t="s">
        <v>846</v>
      </c>
      <c r="H13" s="11"/>
      <c r="I13" s="11"/>
      <c r="J13" s="11" t="s">
        <v>728</v>
      </c>
      <c r="K13" s="11" t="s">
        <v>59</v>
      </c>
      <c r="L13" s="11" t="s">
        <v>60</v>
      </c>
      <c r="M13" s="11"/>
      <c r="N13" s="15"/>
      <c r="O13" s="11"/>
      <c r="P13" s="7" t="str">
        <f aca="false">IF(B13="","",IF(AND(L13="Approved",M13&lt;&gt;"",N13&lt;&gt;""),"Ready","Not yet"))</f>
        <v>Not yet</v>
      </c>
    </row>
    <row r="14" customFormat="false" ht="15" hidden="false" customHeight="true" outlineLevel="0" collapsed="false">
      <c r="A14" s="11" t="s">
        <v>847</v>
      </c>
      <c r="B14" s="11" t="s">
        <v>112</v>
      </c>
      <c r="C14" s="11" t="s">
        <v>843</v>
      </c>
      <c r="D14" s="11" t="s">
        <v>735</v>
      </c>
      <c r="E14" s="11" t="s">
        <v>813</v>
      </c>
      <c r="F14" s="11"/>
      <c r="G14" s="11" t="s">
        <v>848</v>
      </c>
      <c r="H14" s="11"/>
      <c r="I14" s="11"/>
      <c r="J14" s="11" t="s">
        <v>728</v>
      </c>
      <c r="K14" s="11" t="s">
        <v>59</v>
      </c>
      <c r="L14" s="11" t="s">
        <v>60</v>
      </c>
      <c r="M14" s="11"/>
      <c r="N14" s="15"/>
      <c r="O14" s="11"/>
      <c r="P14" s="7" t="str">
        <f aca="false">IF(B14="","",IF(AND(L14="Approved",M14&lt;&gt;"",N14&lt;&gt;""),"Ready","Not yet"))</f>
        <v>Not yet</v>
      </c>
    </row>
    <row r="15" customFormat="false" ht="15" hidden="false" customHeight="true" outlineLevel="0" collapsed="false">
      <c r="A15" s="11" t="s">
        <v>849</v>
      </c>
      <c r="B15" s="11" t="s">
        <v>314</v>
      </c>
      <c r="C15" s="11" t="s">
        <v>298</v>
      </c>
      <c r="D15" s="11"/>
      <c r="E15" s="11" t="s">
        <v>850</v>
      </c>
      <c r="F15" s="11"/>
      <c r="G15" s="11" t="s">
        <v>851</v>
      </c>
      <c r="H15" s="11"/>
      <c r="I15" s="11" t="s">
        <v>316</v>
      </c>
      <c r="J15" s="11" t="s">
        <v>728</v>
      </c>
      <c r="K15" s="11" t="s">
        <v>59</v>
      </c>
      <c r="L15" s="11" t="s">
        <v>60</v>
      </c>
      <c r="M15" s="11"/>
      <c r="N15" s="15"/>
      <c r="O15" s="11"/>
      <c r="P15" s="7" t="str">
        <f aca="false">IF(B15="","",IF(AND(L15="Approved",M15&lt;&gt;"",N15&lt;&gt;""),"Ready","Not yet"))</f>
        <v>Not yet</v>
      </c>
    </row>
    <row r="16" customFormat="false" ht="23.25" hidden="false" customHeight="true" outlineLevel="0" collapsed="false">
      <c r="A16" s="11" t="s">
        <v>852</v>
      </c>
      <c r="B16" s="11" t="s">
        <v>318</v>
      </c>
      <c r="C16" s="11" t="s">
        <v>298</v>
      </c>
      <c r="D16" s="11"/>
      <c r="E16" s="11" t="s">
        <v>850</v>
      </c>
      <c r="F16" s="11" t="s">
        <v>853</v>
      </c>
      <c r="G16" s="11" t="s">
        <v>854</v>
      </c>
      <c r="H16" s="11" t="s">
        <v>855</v>
      </c>
      <c r="I16" s="11" t="s">
        <v>320</v>
      </c>
      <c r="J16" s="11" t="s">
        <v>728</v>
      </c>
      <c r="K16" s="11" t="s">
        <v>59</v>
      </c>
      <c r="L16" s="11" t="s">
        <v>60</v>
      </c>
      <c r="M16" s="11"/>
      <c r="N16" s="15"/>
      <c r="O16" s="11"/>
      <c r="P16" s="7" t="str">
        <f aca="false">IF(B16="","",IF(AND(L16="Approved",M16&lt;&gt;"",N16&lt;&gt;""),"Ready","Not yet"))</f>
        <v>Not yet</v>
      </c>
    </row>
    <row r="17" customFormat="false" ht="15" hidden="false" customHeight="true" outlineLevel="0" collapsed="false">
      <c r="A17" s="11" t="s">
        <v>856</v>
      </c>
      <c r="B17" s="11" t="s">
        <v>623</v>
      </c>
      <c r="C17" s="11" t="s">
        <v>827</v>
      </c>
      <c r="D17" s="11"/>
      <c r="E17" s="11" t="s">
        <v>850</v>
      </c>
      <c r="F17" s="11"/>
      <c r="G17" s="11" t="s">
        <v>857</v>
      </c>
      <c r="H17" s="11"/>
      <c r="I17" s="11" t="s">
        <v>627</v>
      </c>
      <c r="J17" s="11" t="s">
        <v>728</v>
      </c>
      <c r="K17" s="11" t="s">
        <v>59</v>
      </c>
      <c r="L17" s="11" t="s">
        <v>60</v>
      </c>
      <c r="M17" s="11"/>
      <c r="N17" s="15"/>
      <c r="O17" s="11"/>
      <c r="P17" s="7" t="str">
        <f aca="false">IF(B17="","",IF(AND(L17="Approved",M17&lt;&gt;"",N17&lt;&gt;""),"Ready","Not yet"))</f>
        <v>Not yet</v>
      </c>
    </row>
    <row r="18" customFormat="false" ht="15" hidden="false" customHeight="true" outlineLevel="0" collapsed="false">
      <c r="A18" s="11" t="s">
        <v>858</v>
      </c>
      <c r="B18" s="11" t="s">
        <v>561</v>
      </c>
      <c r="C18" s="11" t="s">
        <v>827</v>
      </c>
      <c r="D18" s="11"/>
      <c r="E18" s="11" t="s">
        <v>850</v>
      </c>
      <c r="F18" s="11"/>
      <c r="G18" s="11" t="s">
        <v>859</v>
      </c>
      <c r="H18" s="11"/>
      <c r="I18" s="11" t="s">
        <v>565</v>
      </c>
      <c r="J18" s="11" t="s">
        <v>728</v>
      </c>
      <c r="K18" s="11" t="s">
        <v>59</v>
      </c>
      <c r="L18" s="11" t="s">
        <v>60</v>
      </c>
      <c r="M18" s="11"/>
      <c r="N18" s="15"/>
      <c r="O18" s="11"/>
      <c r="P18" s="7" t="str">
        <f aca="false">IF(B18="","",IF(AND(L18="Approved",M18&lt;&gt;"",N18&lt;&gt;""),"Ready","Not yet"))</f>
        <v>Not yet</v>
      </c>
    </row>
    <row r="19" customFormat="false" ht="23.25" hidden="false" customHeight="true" outlineLevel="0" collapsed="false">
      <c r="A19" s="11" t="s">
        <v>860</v>
      </c>
      <c r="B19" s="11" t="s">
        <v>633</v>
      </c>
      <c r="C19" s="11" t="s">
        <v>827</v>
      </c>
      <c r="D19" s="11"/>
      <c r="E19" s="11" t="s">
        <v>850</v>
      </c>
      <c r="F19" s="11" t="s">
        <v>853</v>
      </c>
      <c r="G19" s="11" t="s">
        <v>861</v>
      </c>
      <c r="H19" s="11" t="s">
        <v>862</v>
      </c>
      <c r="I19" s="11" t="s">
        <v>637</v>
      </c>
      <c r="J19" s="11" t="s">
        <v>728</v>
      </c>
      <c r="K19" s="11" t="s">
        <v>59</v>
      </c>
      <c r="L19" s="11" t="s">
        <v>60</v>
      </c>
      <c r="M19" s="11"/>
      <c r="N19" s="15"/>
      <c r="O19" s="11"/>
      <c r="P19" s="7" t="str">
        <f aca="false">IF(B19="","",IF(AND(L19="Approved",M19&lt;&gt;"",N19&lt;&gt;""),"Ready","Not yet"))</f>
        <v>Not yet</v>
      </c>
    </row>
    <row r="20" customFormat="false" ht="23.25" hidden="false" customHeight="true" outlineLevel="0" collapsed="false">
      <c r="A20" s="11" t="s">
        <v>863</v>
      </c>
      <c r="B20" s="11" t="s">
        <v>864</v>
      </c>
      <c r="C20" s="11" t="s">
        <v>827</v>
      </c>
      <c r="D20" s="11"/>
      <c r="E20" s="11" t="s">
        <v>850</v>
      </c>
      <c r="F20" s="11"/>
      <c r="G20" s="11" t="s">
        <v>865</v>
      </c>
      <c r="H20" s="11"/>
      <c r="I20" s="11" t="s">
        <v>866</v>
      </c>
      <c r="J20" s="11" t="s">
        <v>728</v>
      </c>
      <c r="K20" s="11" t="s">
        <v>59</v>
      </c>
      <c r="L20" s="11" t="s">
        <v>60</v>
      </c>
      <c r="M20" s="11"/>
      <c r="N20" s="15"/>
      <c r="O20" s="11"/>
      <c r="P20" s="7" t="str">
        <f aca="false">IF(B20="","",IF(AND(L20="Approved",M20&lt;&gt;"",N20&lt;&gt;""),"Ready","Not yet"))</f>
        <v>Not yet</v>
      </c>
    </row>
    <row r="21" customFormat="false" ht="15" hidden="false" customHeight="true" outlineLevel="0" collapsed="false">
      <c r="A21" s="11" t="s">
        <v>867</v>
      </c>
      <c r="B21" s="11" t="s">
        <v>868</v>
      </c>
      <c r="C21" s="11" t="s">
        <v>827</v>
      </c>
      <c r="D21" s="11"/>
      <c r="E21" s="11" t="s">
        <v>850</v>
      </c>
      <c r="F21" s="11"/>
      <c r="G21" s="11" t="s">
        <v>869</v>
      </c>
      <c r="H21" s="11"/>
      <c r="I21" s="11" t="s">
        <v>870</v>
      </c>
      <c r="J21" s="11" t="s">
        <v>728</v>
      </c>
      <c r="K21" s="11" t="s">
        <v>59</v>
      </c>
      <c r="L21" s="11" t="s">
        <v>60</v>
      </c>
      <c r="M21" s="11"/>
      <c r="N21" s="15"/>
      <c r="O21" s="11"/>
      <c r="P21" s="7" t="str">
        <f aca="false">IF(B21="","",IF(AND(L21="Approved",M21&lt;&gt;"",N21&lt;&gt;""),"Ready","Not yet"))</f>
        <v>Not yet</v>
      </c>
    </row>
    <row r="22" customFormat="false" ht="15" hidden="false" customHeight="true" outlineLevel="0" collapsed="false">
      <c r="A22" s="11" t="s">
        <v>871</v>
      </c>
      <c r="B22" s="11" t="s">
        <v>592</v>
      </c>
      <c r="C22" s="11" t="s">
        <v>827</v>
      </c>
      <c r="D22" s="11"/>
      <c r="E22" s="11" t="s">
        <v>850</v>
      </c>
      <c r="F22" s="11"/>
      <c r="G22" s="11" t="s">
        <v>872</v>
      </c>
      <c r="H22" s="11"/>
      <c r="I22" s="11" t="s">
        <v>596</v>
      </c>
      <c r="J22" s="11" t="s">
        <v>728</v>
      </c>
      <c r="K22" s="11" t="s">
        <v>59</v>
      </c>
      <c r="L22" s="11" t="s">
        <v>60</v>
      </c>
      <c r="M22" s="11"/>
      <c r="N22" s="15"/>
      <c r="O22" s="11"/>
      <c r="P22" s="7" t="str">
        <f aca="false">IF(B22="","",IF(AND(L22="Approved",M22&lt;&gt;"",N22&lt;&gt;""),"Ready","Not yet"))</f>
        <v>Not yet</v>
      </c>
    </row>
    <row r="23" customFormat="false" ht="15" hidden="false" customHeight="true" outlineLevel="0" collapsed="false">
      <c r="A23" s="11" t="s">
        <v>873</v>
      </c>
      <c r="B23" s="11" t="s">
        <v>874</v>
      </c>
      <c r="C23" s="11" t="s">
        <v>827</v>
      </c>
      <c r="D23" s="11"/>
      <c r="E23" s="11" t="s">
        <v>850</v>
      </c>
      <c r="F23" s="11"/>
      <c r="G23" s="11" t="s">
        <v>875</v>
      </c>
      <c r="H23" s="11"/>
      <c r="I23" s="11" t="s">
        <v>876</v>
      </c>
      <c r="J23" s="11" t="s">
        <v>728</v>
      </c>
      <c r="K23" s="11" t="s">
        <v>59</v>
      </c>
      <c r="L23" s="11" t="s">
        <v>60</v>
      </c>
      <c r="M23" s="11"/>
      <c r="N23" s="15"/>
      <c r="O23" s="11"/>
      <c r="P23" s="7" t="str">
        <f aca="false">IF(B23="","",IF(AND(L23="Approved",M23&lt;&gt;"",N23&lt;&gt;""),"Ready","Not yet"))</f>
        <v>Not yet</v>
      </c>
    </row>
    <row r="24" customFormat="false" ht="15" hidden="false" customHeight="true" outlineLevel="0" collapsed="false">
      <c r="A24" s="11" t="s">
        <v>877</v>
      </c>
      <c r="B24" s="11" t="s">
        <v>878</v>
      </c>
      <c r="C24" s="11" t="s">
        <v>827</v>
      </c>
      <c r="D24" s="11"/>
      <c r="E24" s="11" t="s">
        <v>850</v>
      </c>
      <c r="F24" s="11"/>
      <c r="G24" s="11" t="s">
        <v>879</v>
      </c>
      <c r="H24" s="11"/>
      <c r="I24" s="11" t="s">
        <v>880</v>
      </c>
      <c r="J24" s="11" t="s">
        <v>728</v>
      </c>
      <c r="K24" s="11" t="s">
        <v>59</v>
      </c>
      <c r="L24" s="11" t="s">
        <v>60</v>
      </c>
      <c r="M24" s="11"/>
      <c r="N24" s="15"/>
      <c r="O24" s="11"/>
      <c r="P24" s="7" t="str">
        <f aca="false">IF(B24="","",IF(AND(L24="Approved",M24&lt;&gt;"",N24&lt;&gt;""),"Ready","Not yet"))</f>
        <v>Not yet</v>
      </c>
    </row>
    <row r="25" customFormat="false" ht="15" hidden="false" customHeight="true" outlineLevel="0" collapsed="false">
      <c r="A25" s="11" t="s">
        <v>881</v>
      </c>
      <c r="B25" s="11" t="s">
        <v>882</v>
      </c>
      <c r="C25" s="11" t="s">
        <v>840</v>
      </c>
      <c r="D25" s="11"/>
      <c r="E25" s="11" t="s">
        <v>850</v>
      </c>
      <c r="F25" s="11"/>
      <c r="G25" s="11" t="s">
        <v>883</v>
      </c>
      <c r="H25" s="11"/>
      <c r="I25" s="11"/>
      <c r="J25" s="11" t="s">
        <v>728</v>
      </c>
      <c r="K25" s="11" t="s">
        <v>59</v>
      </c>
      <c r="L25" s="11" t="s">
        <v>60</v>
      </c>
      <c r="M25" s="11"/>
      <c r="N25" s="15"/>
      <c r="O25" s="11"/>
      <c r="P25" s="7" t="str">
        <f aca="false">IF(B25="","",IF(AND(L25="Approved",M25&lt;&gt;"",N25&lt;&gt;""),"Ready","Not yet"))</f>
        <v>Not yet</v>
      </c>
    </row>
    <row r="26" customFormat="false" ht="23.25" hidden="false" customHeight="true" outlineLevel="0" collapsed="false">
      <c r="A26" s="11" t="s">
        <v>884</v>
      </c>
      <c r="B26" s="11" t="s">
        <v>297</v>
      </c>
      <c r="C26" s="11" t="s">
        <v>298</v>
      </c>
      <c r="D26" s="11"/>
      <c r="E26" s="11" t="s">
        <v>853</v>
      </c>
      <c r="F26" s="11"/>
      <c r="G26" s="11" t="s">
        <v>885</v>
      </c>
      <c r="H26" s="11"/>
      <c r="I26" s="11" t="s">
        <v>300</v>
      </c>
      <c r="J26" s="11" t="s">
        <v>728</v>
      </c>
      <c r="K26" s="11" t="s">
        <v>59</v>
      </c>
      <c r="L26" s="11" t="s">
        <v>60</v>
      </c>
      <c r="M26" s="11"/>
      <c r="N26" s="15"/>
      <c r="O26" s="11"/>
      <c r="P26" s="7" t="str">
        <f aca="false">IF(B26="","",IF(AND(L26="Approved",M26&lt;&gt;"",N26&lt;&gt;""),"Ready","Not yet"))</f>
        <v>Not yet</v>
      </c>
    </row>
    <row r="27" customFormat="false" ht="15" hidden="false" customHeight="true" outlineLevel="0" collapsed="false">
      <c r="A27" s="11" t="s">
        <v>886</v>
      </c>
      <c r="B27" s="11" t="s">
        <v>341</v>
      </c>
      <c r="C27" s="11" t="s">
        <v>298</v>
      </c>
      <c r="D27" s="11"/>
      <c r="E27" s="11" t="s">
        <v>853</v>
      </c>
      <c r="F27" s="11"/>
      <c r="G27" s="11" t="s">
        <v>887</v>
      </c>
      <c r="H27" s="11"/>
      <c r="I27" s="11" t="s">
        <v>343</v>
      </c>
      <c r="J27" s="11" t="s">
        <v>728</v>
      </c>
      <c r="K27" s="11" t="s">
        <v>59</v>
      </c>
      <c r="L27" s="11" t="s">
        <v>60</v>
      </c>
      <c r="M27" s="11"/>
      <c r="N27" s="15"/>
      <c r="O27" s="11"/>
      <c r="P27" s="7" t="str">
        <f aca="false">IF(B27="","",IF(AND(L27="Approved",M27&lt;&gt;"",N27&lt;&gt;""),"Ready","Not yet"))</f>
        <v>Not yet</v>
      </c>
    </row>
    <row r="28" customFormat="false" ht="15" hidden="false" customHeight="true" outlineLevel="0" collapsed="false">
      <c r="A28" s="11" t="s">
        <v>888</v>
      </c>
      <c r="B28" s="11" t="s">
        <v>345</v>
      </c>
      <c r="C28" s="11" t="s">
        <v>298</v>
      </c>
      <c r="D28" s="11"/>
      <c r="E28" s="11" t="s">
        <v>853</v>
      </c>
      <c r="F28" s="11"/>
      <c r="G28" s="11" t="s">
        <v>889</v>
      </c>
      <c r="H28" s="11"/>
      <c r="I28" s="11" t="s">
        <v>347</v>
      </c>
      <c r="J28" s="11" t="s">
        <v>728</v>
      </c>
      <c r="K28" s="11" t="s">
        <v>59</v>
      </c>
      <c r="L28" s="11" t="s">
        <v>60</v>
      </c>
      <c r="M28" s="11"/>
      <c r="N28" s="15"/>
      <c r="O28" s="11"/>
      <c r="P28" s="7" t="str">
        <f aca="false">IF(B28="","",IF(AND(L28="Approved",M28&lt;&gt;"",N28&lt;&gt;""),"Ready","Not yet"))</f>
        <v>Not yet</v>
      </c>
    </row>
    <row r="29" customFormat="false" ht="23.25" hidden="false" customHeight="true" outlineLevel="0" collapsed="false">
      <c r="A29" s="11" t="s">
        <v>890</v>
      </c>
      <c r="B29" s="11" t="s">
        <v>648</v>
      </c>
      <c r="C29" s="11" t="s">
        <v>827</v>
      </c>
      <c r="D29" s="11"/>
      <c r="E29" s="11" t="s">
        <v>853</v>
      </c>
      <c r="F29" s="11"/>
      <c r="G29" s="11" t="s">
        <v>891</v>
      </c>
      <c r="H29" s="11"/>
      <c r="I29" s="11" t="s">
        <v>652</v>
      </c>
      <c r="J29" s="11" t="s">
        <v>728</v>
      </c>
      <c r="K29" s="11" t="s">
        <v>59</v>
      </c>
      <c r="L29" s="11" t="s">
        <v>60</v>
      </c>
      <c r="M29" s="11"/>
      <c r="N29" s="15"/>
      <c r="O29" s="11"/>
      <c r="P29" s="7" t="str">
        <f aca="false">IF(B29="","",IF(AND(L29="Approved",M29&lt;&gt;"",N29&lt;&gt;""),"Ready","Not yet"))</f>
        <v>Not yet</v>
      </c>
    </row>
    <row r="30" customFormat="false" ht="23.25" hidden="false" customHeight="true" outlineLevel="0" collapsed="false">
      <c r="A30" s="11" t="s">
        <v>892</v>
      </c>
      <c r="B30" s="11" t="s">
        <v>893</v>
      </c>
      <c r="C30" s="11" t="s">
        <v>827</v>
      </c>
      <c r="D30" s="11"/>
      <c r="E30" s="11" t="s">
        <v>853</v>
      </c>
      <c r="F30" s="11"/>
      <c r="G30" s="11" t="s">
        <v>894</v>
      </c>
      <c r="H30" s="11"/>
      <c r="I30" s="11" t="s">
        <v>895</v>
      </c>
      <c r="J30" s="11" t="s">
        <v>728</v>
      </c>
      <c r="K30" s="11" t="s">
        <v>59</v>
      </c>
      <c r="L30" s="11" t="s">
        <v>60</v>
      </c>
      <c r="M30" s="11"/>
      <c r="N30" s="15"/>
      <c r="O30" s="11"/>
      <c r="P30" s="7" t="str">
        <f aca="false">IF(B30="","",IF(AND(L30="Approved",M30&lt;&gt;"",N30&lt;&gt;""),"Ready","Not yet"))</f>
        <v>Not yet</v>
      </c>
    </row>
    <row r="31" customFormat="false" ht="23.25" hidden="false" customHeight="true" outlineLevel="0" collapsed="false">
      <c r="A31" s="11" t="s">
        <v>896</v>
      </c>
      <c r="B31" s="11" t="s">
        <v>695</v>
      </c>
      <c r="C31" s="11" t="s">
        <v>827</v>
      </c>
      <c r="D31" s="11"/>
      <c r="E31" s="11" t="s">
        <v>853</v>
      </c>
      <c r="F31" s="11"/>
      <c r="G31" s="11" t="s">
        <v>897</v>
      </c>
      <c r="H31" s="11"/>
      <c r="I31" s="11" t="s">
        <v>699</v>
      </c>
      <c r="J31" s="11" t="s">
        <v>728</v>
      </c>
      <c r="K31" s="11" t="s">
        <v>59</v>
      </c>
      <c r="L31" s="11" t="s">
        <v>60</v>
      </c>
      <c r="M31" s="11"/>
      <c r="N31" s="15"/>
      <c r="O31" s="11"/>
      <c r="P31" s="7" t="str">
        <f aca="false">IF(B31="","",IF(AND(L31="Approved",M31&lt;&gt;"",N31&lt;&gt;""),"Ready","Not yet"))</f>
        <v>Not yet</v>
      </c>
    </row>
    <row r="32" customFormat="false" ht="15" hidden="false" customHeight="true" outlineLevel="0" collapsed="false">
      <c r="A32" s="11" t="s">
        <v>898</v>
      </c>
      <c r="B32" s="11" t="s">
        <v>390</v>
      </c>
      <c r="C32" s="11" t="s">
        <v>827</v>
      </c>
      <c r="D32" s="11"/>
      <c r="E32" s="11" t="s">
        <v>853</v>
      </c>
      <c r="F32" s="11"/>
      <c r="G32" s="11" t="s">
        <v>899</v>
      </c>
      <c r="H32" s="11"/>
      <c r="I32" s="11" t="s">
        <v>394</v>
      </c>
      <c r="J32" s="11" t="s">
        <v>728</v>
      </c>
      <c r="K32" s="11" t="s">
        <v>59</v>
      </c>
      <c r="L32" s="11" t="s">
        <v>60</v>
      </c>
      <c r="M32" s="11"/>
      <c r="N32" s="15"/>
      <c r="O32" s="11"/>
      <c r="P32" s="7" t="str">
        <f aca="false">IF(B32="","",IF(AND(L32="Approved",M32&lt;&gt;"",N32&lt;&gt;""),"Ready","Not yet"))</f>
        <v>Not yet</v>
      </c>
    </row>
    <row r="33" customFormat="false" ht="23.25" hidden="false" customHeight="true" outlineLevel="0" collapsed="false">
      <c r="A33" s="11" t="s">
        <v>900</v>
      </c>
      <c r="B33" s="11" t="s">
        <v>602</v>
      </c>
      <c r="C33" s="11" t="s">
        <v>827</v>
      </c>
      <c r="D33" s="11"/>
      <c r="E33" s="11" t="s">
        <v>853</v>
      </c>
      <c r="F33" s="11"/>
      <c r="G33" s="11" t="s">
        <v>901</v>
      </c>
      <c r="H33" s="11"/>
      <c r="I33" s="11" t="s">
        <v>606</v>
      </c>
      <c r="J33" s="11" t="s">
        <v>728</v>
      </c>
      <c r="K33" s="11" t="s">
        <v>59</v>
      </c>
      <c r="L33" s="11" t="s">
        <v>60</v>
      </c>
      <c r="M33" s="11"/>
      <c r="N33" s="15"/>
      <c r="O33" s="11"/>
      <c r="P33" s="7" t="str">
        <f aca="false">IF(B33="","",IF(AND(L33="Approved",M33&lt;&gt;"",N33&lt;&gt;""),"Ready","Not yet"))</f>
        <v>Not yet</v>
      </c>
    </row>
    <row r="34" customFormat="false" ht="23.25" hidden="false" customHeight="true" outlineLevel="0" collapsed="false">
      <c r="A34" s="11" t="s">
        <v>902</v>
      </c>
      <c r="B34" s="11" t="s">
        <v>903</v>
      </c>
      <c r="C34" s="11" t="s">
        <v>840</v>
      </c>
      <c r="D34" s="11"/>
      <c r="E34" s="11" t="s">
        <v>853</v>
      </c>
      <c r="F34" s="11"/>
      <c r="G34" s="11" t="s">
        <v>904</v>
      </c>
      <c r="H34" s="11"/>
      <c r="I34" s="11" t="s">
        <v>905</v>
      </c>
      <c r="J34" s="11" t="s">
        <v>728</v>
      </c>
      <c r="K34" s="11" t="s">
        <v>59</v>
      </c>
      <c r="L34" s="11" t="s">
        <v>60</v>
      </c>
      <c r="M34" s="11"/>
      <c r="N34" s="15"/>
      <c r="O34" s="11"/>
      <c r="P34" s="7" t="str">
        <f aca="false">IF(B34="","",IF(AND(L34="Approved",M34&lt;&gt;"",N34&lt;&gt;""),"Ready","Not yet"))</f>
        <v>Not yet</v>
      </c>
    </row>
    <row r="35" customFormat="false" ht="23.25" hidden="false" customHeight="true" outlineLevel="0" collapsed="false">
      <c r="A35" s="11" t="s">
        <v>906</v>
      </c>
      <c r="B35" s="11" t="s">
        <v>907</v>
      </c>
      <c r="C35" s="11" t="s">
        <v>840</v>
      </c>
      <c r="D35" s="11"/>
      <c r="E35" s="11" t="s">
        <v>853</v>
      </c>
      <c r="F35" s="11"/>
      <c r="G35" s="11" t="s">
        <v>908</v>
      </c>
      <c r="H35" s="11"/>
      <c r="I35" s="11" t="s">
        <v>909</v>
      </c>
      <c r="J35" s="11" t="s">
        <v>728</v>
      </c>
      <c r="K35" s="11" t="s">
        <v>59</v>
      </c>
      <c r="L35" s="11" t="s">
        <v>60</v>
      </c>
      <c r="M35" s="11"/>
      <c r="N35" s="15"/>
      <c r="O35" s="11"/>
      <c r="P35" s="7" t="str">
        <f aca="false">IF(B35="","",IF(AND(L35="Approved",M35&lt;&gt;"",N35&lt;&gt;""),"Ready","Not yet"))</f>
        <v>Not yet</v>
      </c>
    </row>
    <row r="36" customFormat="false" ht="23.25" hidden="false" customHeight="true" outlineLevel="0" collapsed="false">
      <c r="A36" s="11" t="s">
        <v>910</v>
      </c>
      <c r="B36" s="11" t="s">
        <v>911</v>
      </c>
      <c r="C36" s="11" t="s">
        <v>843</v>
      </c>
      <c r="D36" s="11" t="s">
        <v>912</v>
      </c>
      <c r="E36" s="11" t="s">
        <v>853</v>
      </c>
      <c r="F36" s="11"/>
      <c r="G36" s="11" t="s">
        <v>913</v>
      </c>
      <c r="H36" s="11"/>
      <c r="I36" s="11"/>
      <c r="J36" s="11" t="s">
        <v>728</v>
      </c>
      <c r="K36" s="11" t="s">
        <v>59</v>
      </c>
      <c r="L36" s="11" t="s">
        <v>60</v>
      </c>
      <c r="M36" s="11"/>
      <c r="N36" s="15"/>
      <c r="O36" s="11"/>
      <c r="P36" s="7" t="str">
        <f aca="false">IF(B36="","",IF(AND(L36="Approved",M36&lt;&gt;"",N36&lt;&gt;""),"Ready","Not yet"))</f>
        <v>Not yet</v>
      </c>
    </row>
    <row r="37" customFormat="false" ht="15" hidden="false" customHeight="true" outlineLevel="0" collapsed="false">
      <c r="A37" s="11" t="s">
        <v>914</v>
      </c>
      <c r="B37" s="11" t="s">
        <v>326</v>
      </c>
      <c r="C37" s="11" t="s">
        <v>298</v>
      </c>
      <c r="D37" s="11"/>
      <c r="E37" s="11" t="s">
        <v>915</v>
      </c>
      <c r="F37" s="11"/>
      <c r="G37" s="11" t="s">
        <v>916</v>
      </c>
      <c r="H37" s="11"/>
      <c r="I37" s="11" t="s">
        <v>917</v>
      </c>
      <c r="J37" s="11" t="s">
        <v>728</v>
      </c>
      <c r="K37" s="11" t="s">
        <v>59</v>
      </c>
      <c r="L37" s="11" t="s">
        <v>60</v>
      </c>
      <c r="M37" s="11"/>
      <c r="N37" s="15"/>
      <c r="O37" s="11"/>
      <c r="P37" s="7" t="str">
        <f aca="false">IF(B37="","",IF(AND(L37="Approved",M37&lt;&gt;"",N37&lt;&gt;""),"Ready","Not yet"))</f>
        <v>Not yet</v>
      </c>
    </row>
    <row r="38" customFormat="false" ht="15" hidden="false" customHeight="true" outlineLevel="0" collapsed="false">
      <c r="A38" s="11" t="s">
        <v>918</v>
      </c>
      <c r="B38" s="11" t="s">
        <v>334</v>
      </c>
      <c r="C38" s="11" t="s">
        <v>298</v>
      </c>
      <c r="D38" s="11"/>
      <c r="E38" s="11" t="s">
        <v>915</v>
      </c>
      <c r="F38" s="11"/>
      <c r="G38" s="11" t="s">
        <v>919</v>
      </c>
      <c r="H38" s="11"/>
      <c r="I38" s="11" t="s">
        <v>333</v>
      </c>
      <c r="J38" s="11" t="s">
        <v>728</v>
      </c>
      <c r="K38" s="11" t="s">
        <v>59</v>
      </c>
      <c r="L38" s="11" t="s">
        <v>60</v>
      </c>
      <c r="M38" s="11"/>
      <c r="N38" s="15"/>
      <c r="O38" s="11"/>
      <c r="P38" s="7" t="str">
        <f aca="false">IF(B38="","",IF(AND(L38="Approved",M38&lt;&gt;"",N38&lt;&gt;""),"Ready","Not yet"))</f>
        <v>Not yet</v>
      </c>
    </row>
    <row r="39" customFormat="false" ht="15" hidden="false" customHeight="true" outlineLevel="0" collapsed="false">
      <c r="A39" s="11" t="s">
        <v>920</v>
      </c>
      <c r="B39" s="11" t="s">
        <v>921</v>
      </c>
      <c r="C39" s="11" t="s">
        <v>298</v>
      </c>
      <c r="D39" s="11"/>
      <c r="E39" s="11" t="s">
        <v>915</v>
      </c>
      <c r="F39" s="11"/>
      <c r="G39" s="11" t="s">
        <v>922</v>
      </c>
      <c r="H39" s="11"/>
      <c r="I39" s="11" t="s">
        <v>923</v>
      </c>
      <c r="J39" s="11" t="s">
        <v>728</v>
      </c>
      <c r="K39" s="11" t="s">
        <v>59</v>
      </c>
      <c r="L39" s="11" t="s">
        <v>60</v>
      </c>
      <c r="M39" s="11"/>
      <c r="N39" s="15"/>
      <c r="O39" s="11"/>
      <c r="P39" s="7" t="str">
        <f aca="false">IF(B39="","",IF(AND(L39="Approved",M39&lt;&gt;"",N39&lt;&gt;""),"Ready","Not yet"))</f>
        <v>Not yet</v>
      </c>
    </row>
    <row r="40" customFormat="false" ht="23.25" hidden="false" customHeight="true" outlineLevel="0" collapsed="false">
      <c r="A40" s="11" t="s">
        <v>924</v>
      </c>
      <c r="B40" s="11" t="s">
        <v>700</v>
      </c>
      <c r="C40" s="11" t="s">
        <v>827</v>
      </c>
      <c r="D40" s="11"/>
      <c r="E40" s="11" t="s">
        <v>915</v>
      </c>
      <c r="F40" s="11"/>
      <c r="G40" s="11" t="s">
        <v>925</v>
      </c>
      <c r="H40" s="11"/>
      <c r="I40" s="11" t="s">
        <v>704</v>
      </c>
      <c r="J40" s="11" t="s">
        <v>728</v>
      </c>
      <c r="K40" s="11" t="s">
        <v>59</v>
      </c>
      <c r="L40" s="11" t="s">
        <v>60</v>
      </c>
      <c r="M40" s="11"/>
      <c r="N40" s="15"/>
      <c r="O40" s="11"/>
      <c r="P40" s="7" t="str">
        <f aca="false">IF(B40="","",IF(AND(L40="Approved",M40&lt;&gt;"",N40&lt;&gt;""),"Ready","Not yet"))</f>
        <v>Not yet</v>
      </c>
    </row>
    <row r="41" customFormat="false" ht="15" hidden="false" customHeight="true" outlineLevel="0" collapsed="false">
      <c r="A41" s="11" t="s">
        <v>926</v>
      </c>
      <c r="B41" s="11" t="s">
        <v>927</v>
      </c>
      <c r="C41" s="11" t="s">
        <v>827</v>
      </c>
      <c r="D41" s="11"/>
      <c r="E41" s="11" t="s">
        <v>915</v>
      </c>
      <c r="F41" s="11"/>
      <c r="G41" s="11" t="s">
        <v>928</v>
      </c>
      <c r="H41" s="11"/>
      <c r="I41" s="11" t="s">
        <v>929</v>
      </c>
      <c r="J41" s="11" t="s">
        <v>728</v>
      </c>
      <c r="K41" s="11" t="s">
        <v>59</v>
      </c>
      <c r="L41" s="11" t="s">
        <v>60</v>
      </c>
      <c r="M41" s="11"/>
      <c r="N41" s="15"/>
      <c r="O41" s="11"/>
      <c r="P41" s="7" t="str">
        <f aca="false">IF(B41="","",IF(AND(L41="Approved",M41&lt;&gt;"",N41&lt;&gt;""),"Ready","Not yet"))</f>
        <v>Not yet</v>
      </c>
    </row>
    <row r="42" customFormat="false" ht="15" hidden="false" customHeight="true" outlineLevel="0" collapsed="false">
      <c r="A42" s="11" t="s">
        <v>930</v>
      </c>
      <c r="B42" s="11" t="s">
        <v>931</v>
      </c>
      <c r="C42" s="11" t="s">
        <v>827</v>
      </c>
      <c r="D42" s="11"/>
      <c r="E42" s="11" t="s">
        <v>915</v>
      </c>
      <c r="F42" s="11"/>
      <c r="G42" s="11" t="s">
        <v>932</v>
      </c>
      <c r="H42" s="11"/>
      <c r="I42" s="11" t="s">
        <v>933</v>
      </c>
      <c r="J42" s="11" t="s">
        <v>728</v>
      </c>
      <c r="K42" s="11" t="s">
        <v>59</v>
      </c>
      <c r="L42" s="11" t="s">
        <v>60</v>
      </c>
      <c r="M42" s="11"/>
      <c r="N42" s="15"/>
      <c r="O42" s="11"/>
      <c r="P42" s="7" t="str">
        <f aca="false">IF(B42="","",IF(AND(L42="Approved",M42&lt;&gt;"",N42&lt;&gt;""),"Ready","Not yet"))</f>
        <v>Not yet</v>
      </c>
    </row>
    <row r="43" customFormat="false" ht="23.25" hidden="false" customHeight="true" outlineLevel="0" collapsed="false">
      <c r="A43" s="11" t="s">
        <v>934</v>
      </c>
      <c r="B43" s="11" t="s">
        <v>935</v>
      </c>
      <c r="C43" s="11" t="s">
        <v>827</v>
      </c>
      <c r="D43" s="11"/>
      <c r="E43" s="11" t="s">
        <v>915</v>
      </c>
      <c r="F43" s="11"/>
      <c r="G43" s="11" t="s">
        <v>936</v>
      </c>
      <c r="H43" s="11"/>
      <c r="I43" s="11" t="s">
        <v>937</v>
      </c>
      <c r="J43" s="11" t="s">
        <v>728</v>
      </c>
      <c r="K43" s="11" t="s">
        <v>59</v>
      </c>
      <c r="L43" s="11" t="s">
        <v>60</v>
      </c>
      <c r="M43" s="11"/>
      <c r="N43" s="15"/>
      <c r="O43" s="11"/>
      <c r="P43" s="7" t="str">
        <f aca="false">IF(B43="","",IF(AND(L43="Approved",M43&lt;&gt;"",N43&lt;&gt;""),"Ready","Not yet"))</f>
        <v>Not yet</v>
      </c>
    </row>
    <row r="44" customFormat="false" ht="23.25" hidden="false" customHeight="true" outlineLevel="0" collapsed="false">
      <c r="A44" s="11" t="s">
        <v>938</v>
      </c>
      <c r="B44" s="11" t="s">
        <v>939</v>
      </c>
      <c r="C44" s="11" t="s">
        <v>840</v>
      </c>
      <c r="D44" s="11"/>
      <c r="E44" s="11" t="s">
        <v>915</v>
      </c>
      <c r="F44" s="11"/>
      <c r="G44" s="11" t="s">
        <v>940</v>
      </c>
      <c r="H44" s="11"/>
      <c r="I44" s="11"/>
      <c r="J44" s="11" t="s">
        <v>728</v>
      </c>
      <c r="K44" s="11" t="s">
        <v>59</v>
      </c>
      <c r="L44" s="11" t="s">
        <v>60</v>
      </c>
      <c r="M44" s="11"/>
      <c r="N44" s="15"/>
      <c r="O44" s="11"/>
      <c r="P44" s="7" t="str">
        <f aca="false">IF(B44="","",IF(AND(L44="Approved",M44&lt;&gt;"",N44&lt;&gt;""),"Ready","Not yet"))</f>
        <v>Not yet</v>
      </c>
    </row>
    <row r="45" customFormat="false" ht="15" hidden="false" customHeight="true" outlineLevel="0" collapsed="false">
      <c r="A45" s="11" t="s">
        <v>941</v>
      </c>
      <c r="B45" s="11" t="s">
        <v>302</v>
      </c>
      <c r="C45" s="11" t="s">
        <v>298</v>
      </c>
      <c r="D45" s="11"/>
      <c r="E45" s="11" t="s">
        <v>942</v>
      </c>
      <c r="F45" s="11"/>
      <c r="G45" s="11" t="s">
        <v>943</v>
      </c>
      <c r="H45" s="11"/>
      <c r="I45" s="11" t="s">
        <v>304</v>
      </c>
      <c r="J45" s="11" t="s">
        <v>728</v>
      </c>
      <c r="K45" s="11" t="s">
        <v>59</v>
      </c>
      <c r="L45" s="11" t="s">
        <v>60</v>
      </c>
      <c r="M45" s="11"/>
      <c r="N45" s="15"/>
      <c r="O45" s="11"/>
      <c r="P45" s="7" t="str">
        <f aca="false">IF(B45="","",IF(AND(L45="Approved",M45&lt;&gt;"",N45&lt;&gt;""),"Ready","Not yet"))</f>
        <v>Not yet</v>
      </c>
    </row>
    <row r="46" customFormat="false" ht="15" hidden="false" customHeight="true" outlineLevel="0" collapsed="false">
      <c r="A46" s="11" t="s">
        <v>944</v>
      </c>
      <c r="B46" s="11" t="s">
        <v>330</v>
      </c>
      <c r="C46" s="11" t="s">
        <v>298</v>
      </c>
      <c r="D46" s="11"/>
      <c r="E46" s="11" t="s">
        <v>942</v>
      </c>
      <c r="F46" s="11"/>
      <c r="G46" s="11" t="s">
        <v>945</v>
      </c>
      <c r="H46" s="11"/>
      <c r="I46" s="11" t="s">
        <v>332</v>
      </c>
      <c r="J46" s="11" t="s">
        <v>728</v>
      </c>
      <c r="K46" s="11" t="s">
        <v>59</v>
      </c>
      <c r="L46" s="11" t="s">
        <v>60</v>
      </c>
      <c r="M46" s="11"/>
      <c r="N46" s="15"/>
      <c r="O46" s="11"/>
      <c r="P46" s="7" t="str">
        <f aca="false">IF(B46="","",IF(AND(L46="Approved",M46&lt;&gt;"",N46&lt;&gt;""),"Ready","Not yet"))</f>
        <v>Not yet</v>
      </c>
    </row>
    <row r="47" customFormat="false" ht="15" hidden="false" customHeight="true" outlineLevel="0" collapsed="false">
      <c r="A47" s="11" t="s">
        <v>946</v>
      </c>
      <c r="B47" s="11" t="s">
        <v>306</v>
      </c>
      <c r="C47" s="11" t="s">
        <v>298</v>
      </c>
      <c r="D47" s="11"/>
      <c r="E47" s="11" t="s">
        <v>942</v>
      </c>
      <c r="F47" s="11"/>
      <c r="G47" s="11" t="s">
        <v>947</v>
      </c>
      <c r="H47" s="11"/>
      <c r="I47" s="11" t="s">
        <v>308</v>
      </c>
      <c r="J47" s="11" t="s">
        <v>728</v>
      </c>
      <c r="K47" s="11" t="s">
        <v>59</v>
      </c>
      <c r="L47" s="11" t="s">
        <v>60</v>
      </c>
      <c r="M47" s="11"/>
      <c r="N47" s="15"/>
      <c r="O47" s="11"/>
      <c r="P47" s="7" t="str">
        <f aca="false">IF(B47="","",IF(AND(L47="Approved",M47&lt;&gt;"",N47&lt;&gt;""),"Ready","Not yet"))</f>
        <v>Not yet</v>
      </c>
    </row>
    <row r="48" customFormat="false" ht="15" hidden="false" customHeight="true" outlineLevel="0" collapsed="false">
      <c r="A48" s="11" t="s">
        <v>948</v>
      </c>
      <c r="B48" s="11" t="s">
        <v>446</v>
      </c>
      <c r="C48" s="11" t="s">
        <v>827</v>
      </c>
      <c r="D48" s="11"/>
      <c r="E48" s="11" t="s">
        <v>942</v>
      </c>
      <c r="F48" s="11"/>
      <c r="G48" s="11" t="s">
        <v>949</v>
      </c>
      <c r="H48" s="11"/>
      <c r="I48" s="11" t="s">
        <v>450</v>
      </c>
      <c r="J48" s="11" t="s">
        <v>728</v>
      </c>
      <c r="K48" s="11" t="s">
        <v>59</v>
      </c>
      <c r="L48" s="11" t="s">
        <v>60</v>
      </c>
      <c r="M48" s="11"/>
      <c r="N48" s="15"/>
      <c r="O48" s="11"/>
      <c r="P48" s="7" t="str">
        <f aca="false">IF(B48="","",IF(AND(L48="Approved",M48&lt;&gt;"",N48&lt;&gt;""),"Ready","Not yet"))</f>
        <v>Not yet</v>
      </c>
    </row>
    <row r="49" customFormat="false" ht="23.25" hidden="false" customHeight="true" outlineLevel="0" collapsed="false">
      <c r="A49" s="11" t="s">
        <v>950</v>
      </c>
      <c r="B49" s="11" t="s">
        <v>477</v>
      </c>
      <c r="C49" s="11" t="s">
        <v>827</v>
      </c>
      <c r="D49" s="11"/>
      <c r="E49" s="11" t="s">
        <v>942</v>
      </c>
      <c r="F49" s="11"/>
      <c r="G49" s="11" t="s">
        <v>951</v>
      </c>
      <c r="H49" s="11"/>
      <c r="I49" s="11" t="s">
        <v>481</v>
      </c>
      <c r="J49" s="11" t="s">
        <v>728</v>
      </c>
      <c r="K49" s="11" t="s">
        <v>59</v>
      </c>
      <c r="L49" s="11" t="s">
        <v>60</v>
      </c>
      <c r="M49" s="11"/>
      <c r="N49" s="15"/>
      <c r="O49" s="11"/>
      <c r="P49" s="7" t="str">
        <f aca="false">IF(B49="","",IF(AND(L49="Approved",M49&lt;&gt;"",N49&lt;&gt;""),"Ready","Not yet"))</f>
        <v>Not yet</v>
      </c>
    </row>
    <row r="50" customFormat="false" ht="15" hidden="false" customHeight="true" outlineLevel="0" collapsed="false">
      <c r="A50" s="11" t="s">
        <v>952</v>
      </c>
      <c r="B50" s="11" t="s">
        <v>953</v>
      </c>
      <c r="C50" s="11" t="s">
        <v>827</v>
      </c>
      <c r="D50" s="11"/>
      <c r="E50" s="11" t="s">
        <v>942</v>
      </c>
      <c r="F50" s="11"/>
      <c r="G50" s="11" t="s">
        <v>954</v>
      </c>
      <c r="H50" s="11"/>
      <c r="I50" s="11" t="s">
        <v>955</v>
      </c>
      <c r="J50" s="11" t="s">
        <v>728</v>
      </c>
      <c r="K50" s="11" t="s">
        <v>59</v>
      </c>
      <c r="L50" s="11" t="s">
        <v>60</v>
      </c>
      <c r="M50" s="11"/>
      <c r="N50" s="15"/>
      <c r="O50" s="11"/>
      <c r="P50" s="7" t="str">
        <f aca="false">IF(B50="","",IF(AND(L50="Approved",M50&lt;&gt;"",N50&lt;&gt;""),"Ready","Not yet"))</f>
        <v>Not yet</v>
      </c>
    </row>
    <row r="51" customFormat="false" ht="23.25" hidden="false" customHeight="true" outlineLevel="0" collapsed="false">
      <c r="A51" s="11" t="s">
        <v>956</v>
      </c>
      <c r="B51" s="11" t="s">
        <v>467</v>
      </c>
      <c r="C51" s="11" t="s">
        <v>827</v>
      </c>
      <c r="D51" s="11"/>
      <c r="E51" s="11" t="s">
        <v>942</v>
      </c>
      <c r="F51" s="11"/>
      <c r="G51" s="11" t="s">
        <v>957</v>
      </c>
      <c r="H51" s="11"/>
      <c r="I51" s="11" t="s">
        <v>471</v>
      </c>
      <c r="J51" s="11" t="s">
        <v>728</v>
      </c>
      <c r="K51" s="11" t="s">
        <v>59</v>
      </c>
      <c r="L51" s="11" t="s">
        <v>60</v>
      </c>
      <c r="M51" s="11"/>
      <c r="N51" s="15"/>
      <c r="O51" s="11"/>
      <c r="P51" s="7" t="str">
        <f aca="false">IF(B51="","",IF(AND(L51="Approved",M51&lt;&gt;"",N51&lt;&gt;""),"Ready","Not yet"))</f>
        <v>Not yet</v>
      </c>
    </row>
    <row r="52" customFormat="false" ht="23.25" hidden="false" customHeight="true" outlineLevel="0" collapsed="false">
      <c r="A52" s="11" t="s">
        <v>958</v>
      </c>
      <c r="B52" s="11" t="s">
        <v>959</v>
      </c>
      <c r="C52" s="11" t="s">
        <v>827</v>
      </c>
      <c r="D52" s="11"/>
      <c r="E52" s="11" t="s">
        <v>942</v>
      </c>
      <c r="F52" s="11"/>
      <c r="G52" s="11" t="s">
        <v>960</v>
      </c>
      <c r="H52" s="11"/>
      <c r="I52" s="11" t="s">
        <v>961</v>
      </c>
      <c r="J52" s="11" t="s">
        <v>728</v>
      </c>
      <c r="K52" s="11" t="s">
        <v>59</v>
      </c>
      <c r="L52" s="11" t="s">
        <v>60</v>
      </c>
      <c r="M52" s="11"/>
      <c r="N52" s="15"/>
      <c r="O52" s="11"/>
      <c r="P52" s="7" t="str">
        <f aca="false">IF(B52="","",IF(AND(L52="Approved",M52&lt;&gt;"",N52&lt;&gt;""),"Ready","Not yet"))</f>
        <v>Not yet</v>
      </c>
    </row>
    <row r="53" customFormat="false" ht="15" hidden="false" customHeight="true" outlineLevel="0" collapsed="false">
      <c r="A53" s="11" t="s">
        <v>962</v>
      </c>
      <c r="B53" s="11" t="s">
        <v>963</v>
      </c>
      <c r="C53" s="11" t="s">
        <v>840</v>
      </c>
      <c r="D53" s="11"/>
      <c r="E53" s="11" t="s">
        <v>942</v>
      </c>
      <c r="F53" s="11"/>
      <c r="G53" s="11" t="s">
        <v>964</v>
      </c>
      <c r="H53" s="11"/>
      <c r="I53" s="11"/>
      <c r="J53" s="11" t="s">
        <v>728</v>
      </c>
      <c r="K53" s="11" t="s">
        <v>59</v>
      </c>
      <c r="L53" s="11" t="s">
        <v>60</v>
      </c>
      <c r="M53" s="11"/>
      <c r="N53" s="15"/>
      <c r="O53" s="11"/>
      <c r="P53" s="7" t="str">
        <f aca="false">IF(B53="","",IF(AND(L53="Approved",M53&lt;&gt;"",N53&lt;&gt;""),"Ready","Not yet"))</f>
        <v>Not yet</v>
      </c>
    </row>
    <row r="54" customFormat="false" ht="23.25" hidden="false" customHeight="true" outlineLevel="0" collapsed="false">
      <c r="A54" s="11" t="s">
        <v>965</v>
      </c>
      <c r="B54" s="11" t="s">
        <v>966</v>
      </c>
      <c r="C54" s="11" t="s">
        <v>843</v>
      </c>
      <c r="D54" s="11" t="s">
        <v>967</v>
      </c>
      <c r="E54" s="11" t="s">
        <v>942</v>
      </c>
      <c r="F54" s="11"/>
      <c r="G54" s="11" t="s">
        <v>968</v>
      </c>
      <c r="H54" s="11"/>
      <c r="I54" s="11"/>
      <c r="J54" s="11" t="s">
        <v>728</v>
      </c>
      <c r="K54" s="11" t="s">
        <v>59</v>
      </c>
      <c r="L54" s="11" t="s">
        <v>60</v>
      </c>
      <c r="M54" s="11"/>
      <c r="N54" s="15"/>
      <c r="O54" s="11"/>
      <c r="P54" s="7" t="str">
        <f aca="false">IF(B54="","",IF(AND(L54="Approved",M54&lt;&gt;"",N54&lt;&gt;""),"Ready","Not yet"))</f>
        <v>Not yet</v>
      </c>
    </row>
    <row r="55" customFormat="false" ht="15" hidden="false" customHeight="true" outlineLevel="0" collapsed="false">
      <c r="A55" s="11" t="s">
        <v>969</v>
      </c>
      <c r="B55" s="11" t="s">
        <v>970</v>
      </c>
      <c r="C55" s="11" t="s">
        <v>827</v>
      </c>
      <c r="D55" s="11"/>
      <c r="E55" s="11" t="s">
        <v>971</v>
      </c>
      <c r="F55" s="11"/>
      <c r="G55" s="11" t="s">
        <v>972</v>
      </c>
      <c r="H55" s="11"/>
      <c r="I55" s="11" t="s">
        <v>973</v>
      </c>
      <c r="J55" s="11" t="s">
        <v>728</v>
      </c>
      <c r="K55" s="11" t="s">
        <v>59</v>
      </c>
      <c r="L55" s="11" t="s">
        <v>60</v>
      </c>
      <c r="M55" s="11"/>
      <c r="N55" s="15"/>
      <c r="O55" s="11"/>
      <c r="P55" s="7" t="str">
        <f aca="false">IF(B55="","",IF(AND(L55="Approved",M55&lt;&gt;"",N55&lt;&gt;""),"Ready","Not yet"))</f>
        <v>Not yet</v>
      </c>
    </row>
    <row r="56" customFormat="false" ht="15" hidden="false" customHeight="true" outlineLevel="0" collapsed="false">
      <c r="A56" s="11" t="s">
        <v>974</v>
      </c>
      <c r="B56" s="11" t="s">
        <v>975</v>
      </c>
      <c r="C56" s="11" t="s">
        <v>827</v>
      </c>
      <c r="D56" s="11"/>
      <c r="E56" s="11" t="s">
        <v>971</v>
      </c>
      <c r="F56" s="11"/>
      <c r="G56" s="11" t="s">
        <v>976</v>
      </c>
      <c r="H56" s="11"/>
      <c r="I56" s="11" t="s">
        <v>977</v>
      </c>
      <c r="J56" s="11" t="s">
        <v>728</v>
      </c>
      <c r="K56" s="11" t="s">
        <v>59</v>
      </c>
      <c r="L56" s="11" t="s">
        <v>60</v>
      </c>
      <c r="M56" s="11"/>
      <c r="N56" s="15"/>
      <c r="O56" s="11"/>
      <c r="P56" s="7" t="str">
        <f aca="false">IF(B56="","",IF(AND(L56="Approved",M56&lt;&gt;"",N56&lt;&gt;""),"Ready","Not yet"))</f>
        <v>Not yet</v>
      </c>
    </row>
    <row r="57" customFormat="false" ht="15" hidden="false" customHeight="true" outlineLevel="0" collapsed="false">
      <c r="A57" s="11" t="s">
        <v>978</v>
      </c>
      <c r="B57" s="11" t="s">
        <v>979</v>
      </c>
      <c r="C57" s="11" t="s">
        <v>827</v>
      </c>
      <c r="D57" s="11"/>
      <c r="E57" s="11" t="s">
        <v>971</v>
      </c>
      <c r="F57" s="11"/>
      <c r="G57" s="11" t="s">
        <v>980</v>
      </c>
      <c r="H57" s="11"/>
      <c r="I57" s="11" t="s">
        <v>981</v>
      </c>
      <c r="J57" s="11" t="s">
        <v>728</v>
      </c>
      <c r="K57" s="11" t="s">
        <v>59</v>
      </c>
      <c r="L57" s="11" t="s">
        <v>60</v>
      </c>
      <c r="M57" s="11"/>
      <c r="N57" s="15"/>
      <c r="O57" s="11"/>
      <c r="P57" s="7" t="str">
        <f aca="false">IF(B57="","",IF(AND(L57="Approved",M57&lt;&gt;"",N57&lt;&gt;""),"Ready","Not yet"))</f>
        <v>Not yet</v>
      </c>
    </row>
    <row r="58" customFormat="false" ht="23.25" hidden="false" customHeight="true" outlineLevel="0" collapsed="false">
      <c r="A58" s="11" t="s">
        <v>982</v>
      </c>
      <c r="B58" s="11" t="s">
        <v>983</v>
      </c>
      <c r="C58" s="11" t="s">
        <v>827</v>
      </c>
      <c r="D58" s="11"/>
      <c r="E58" s="11" t="s">
        <v>971</v>
      </c>
      <c r="F58" s="11"/>
      <c r="G58" s="11" t="s">
        <v>984</v>
      </c>
      <c r="H58" s="11"/>
      <c r="I58" s="11" t="s">
        <v>985</v>
      </c>
      <c r="J58" s="11" t="s">
        <v>728</v>
      </c>
      <c r="K58" s="11" t="s">
        <v>59</v>
      </c>
      <c r="L58" s="11" t="s">
        <v>60</v>
      </c>
      <c r="M58" s="11"/>
      <c r="N58" s="15"/>
      <c r="O58" s="11"/>
      <c r="P58" s="7" t="str">
        <f aca="false">IF(B58="","",IF(AND(L58="Approved",M58&lt;&gt;"",N58&lt;&gt;""),"Ready","Not yet"))</f>
        <v>Not yet</v>
      </c>
    </row>
    <row r="59" customFormat="false" ht="15" hidden="false" customHeight="true" outlineLevel="0" collapsed="false">
      <c r="A59" s="11" t="s">
        <v>986</v>
      </c>
      <c r="B59" s="11" t="s">
        <v>987</v>
      </c>
      <c r="C59" s="11" t="s">
        <v>827</v>
      </c>
      <c r="D59" s="11"/>
      <c r="E59" s="11" t="s">
        <v>971</v>
      </c>
      <c r="F59" s="11"/>
      <c r="G59" s="11" t="s">
        <v>988</v>
      </c>
      <c r="H59" s="11"/>
      <c r="I59" s="11" t="s">
        <v>989</v>
      </c>
      <c r="J59" s="11" t="s">
        <v>728</v>
      </c>
      <c r="K59" s="11" t="s">
        <v>59</v>
      </c>
      <c r="L59" s="11" t="s">
        <v>60</v>
      </c>
      <c r="M59" s="11"/>
      <c r="N59" s="15"/>
      <c r="O59" s="11"/>
      <c r="P59" s="7" t="str">
        <f aca="false">IF(B59="","",IF(AND(L59="Approved",M59&lt;&gt;"",N59&lt;&gt;""),"Ready","Not yet"))</f>
        <v>Not yet</v>
      </c>
    </row>
    <row r="60" customFormat="false" ht="15" hidden="false" customHeight="true" outlineLevel="0" collapsed="false">
      <c r="A60" s="11" t="s">
        <v>990</v>
      </c>
      <c r="B60" s="11" t="s">
        <v>991</v>
      </c>
      <c r="C60" s="11" t="s">
        <v>827</v>
      </c>
      <c r="D60" s="11"/>
      <c r="E60" s="11" t="s">
        <v>971</v>
      </c>
      <c r="F60" s="11"/>
      <c r="G60" s="11" t="s">
        <v>992</v>
      </c>
      <c r="H60" s="11"/>
      <c r="I60" s="11" t="s">
        <v>993</v>
      </c>
      <c r="J60" s="11" t="s">
        <v>728</v>
      </c>
      <c r="K60" s="11" t="s">
        <v>59</v>
      </c>
      <c r="L60" s="11" t="s">
        <v>60</v>
      </c>
      <c r="M60" s="11"/>
      <c r="N60" s="15"/>
      <c r="O60" s="11"/>
      <c r="P60" s="7" t="str">
        <f aca="false">IF(B60="","",IF(AND(L60="Approved",M60&lt;&gt;"",N60&lt;&gt;""),"Ready","Not yet"))</f>
        <v>Not yet</v>
      </c>
    </row>
    <row r="61" customFormat="false" ht="15" hidden="false" customHeight="true" outlineLevel="0" collapsed="false">
      <c r="A61" s="11" t="s">
        <v>994</v>
      </c>
      <c r="B61" s="11" t="s">
        <v>995</v>
      </c>
      <c r="C61" s="11" t="s">
        <v>827</v>
      </c>
      <c r="D61" s="11"/>
      <c r="E61" s="11" t="s">
        <v>971</v>
      </c>
      <c r="F61" s="11"/>
      <c r="G61" s="11" t="s">
        <v>996</v>
      </c>
      <c r="H61" s="11"/>
      <c r="I61" s="11" t="s">
        <v>997</v>
      </c>
      <c r="J61" s="11" t="s">
        <v>728</v>
      </c>
      <c r="K61" s="11" t="s">
        <v>59</v>
      </c>
      <c r="L61" s="11" t="s">
        <v>60</v>
      </c>
      <c r="M61" s="11"/>
      <c r="N61" s="15"/>
      <c r="O61" s="11"/>
      <c r="P61" s="7" t="str">
        <f aca="false">IF(B61="","",IF(AND(L61="Approved",M61&lt;&gt;"",N61&lt;&gt;""),"Ready","Not yet"))</f>
        <v>Not yet</v>
      </c>
    </row>
    <row r="62" customFormat="false" ht="23.25" hidden="false" customHeight="true" outlineLevel="0" collapsed="false">
      <c r="A62" s="11" t="s">
        <v>998</v>
      </c>
      <c r="B62" s="11" t="s">
        <v>999</v>
      </c>
      <c r="C62" s="11" t="s">
        <v>840</v>
      </c>
      <c r="D62" s="11"/>
      <c r="E62" s="11" t="s">
        <v>971</v>
      </c>
      <c r="F62" s="11"/>
      <c r="G62" s="11" t="s">
        <v>1000</v>
      </c>
      <c r="H62" s="11"/>
      <c r="I62" s="11"/>
      <c r="J62" s="11" t="s">
        <v>728</v>
      </c>
      <c r="K62" s="11" t="s">
        <v>59</v>
      </c>
      <c r="L62" s="11" t="s">
        <v>60</v>
      </c>
      <c r="M62" s="11"/>
      <c r="N62" s="15"/>
      <c r="O62" s="11"/>
      <c r="P62" s="7" t="str">
        <f aca="false">IF(B62="","",IF(AND(L62="Approved",M62&lt;&gt;"",N62&lt;&gt;""),"Ready","Not yet"))</f>
        <v>Not yet</v>
      </c>
    </row>
    <row r="63" customFormat="false" ht="23.25" hidden="false" customHeight="true" outlineLevel="0" collapsed="false">
      <c r="A63" s="11" t="s">
        <v>1001</v>
      </c>
      <c r="B63" s="11" t="s">
        <v>66</v>
      </c>
      <c r="C63" s="11" t="s">
        <v>54</v>
      </c>
      <c r="D63" s="11"/>
      <c r="E63" s="11" t="s">
        <v>1002</v>
      </c>
      <c r="F63" s="11"/>
      <c r="G63" s="11" t="s">
        <v>1003</v>
      </c>
      <c r="H63" s="11"/>
      <c r="I63" s="11" t="s">
        <v>68</v>
      </c>
      <c r="J63" s="11" t="s">
        <v>728</v>
      </c>
      <c r="K63" s="11" t="s">
        <v>59</v>
      </c>
      <c r="L63" s="11" t="s">
        <v>60</v>
      </c>
      <c r="M63" s="11"/>
      <c r="N63" s="15"/>
      <c r="O63" s="11"/>
      <c r="P63" s="7" t="str">
        <f aca="false">IF(B63="","",IF(AND(L63="Approved",M63&lt;&gt;"",N63&lt;&gt;""),"Ready","Not yet"))</f>
        <v>Not yet</v>
      </c>
    </row>
    <row r="64" customFormat="false" ht="23.25" hidden="false" customHeight="true" outlineLevel="0" collapsed="false">
      <c r="A64" s="11" t="s">
        <v>1004</v>
      </c>
      <c r="B64" s="11" t="s">
        <v>62</v>
      </c>
      <c r="C64" s="11" t="s">
        <v>54</v>
      </c>
      <c r="D64" s="11"/>
      <c r="E64" s="11" t="s">
        <v>1002</v>
      </c>
      <c r="F64" s="11"/>
      <c r="G64" s="11" t="s">
        <v>1005</v>
      </c>
      <c r="H64" s="11"/>
      <c r="I64" s="11" t="s">
        <v>64</v>
      </c>
      <c r="J64" s="11" t="s">
        <v>728</v>
      </c>
      <c r="K64" s="11" t="s">
        <v>59</v>
      </c>
      <c r="L64" s="11" t="s">
        <v>60</v>
      </c>
      <c r="M64" s="11"/>
      <c r="N64" s="15"/>
      <c r="O64" s="11"/>
      <c r="P64" s="7" t="str">
        <f aca="false">IF(B64="","",IF(AND(L64="Approved",M64&lt;&gt;"",N64&lt;&gt;""),"Ready","Not yet"))</f>
        <v>Not yet</v>
      </c>
    </row>
    <row r="65" customFormat="false" ht="23.25" hidden="false" customHeight="true" outlineLevel="0" collapsed="false">
      <c r="A65" s="11" t="s">
        <v>1006</v>
      </c>
      <c r="B65" s="11" t="s">
        <v>74</v>
      </c>
      <c r="C65" s="11" t="s">
        <v>54</v>
      </c>
      <c r="D65" s="11"/>
      <c r="E65" s="11" t="s">
        <v>1002</v>
      </c>
      <c r="F65" s="11"/>
      <c r="G65" s="11" t="s">
        <v>1007</v>
      </c>
      <c r="H65" s="11"/>
      <c r="I65" s="11" t="s">
        <v>76</v>
      </c>
      <c r="J65" s="11" t="s">
        <v>728</v>
      </c>
      <c r="K65" s="11" t="s">
        <v>59</v>
      </c>
      <c r="L65" s="11" t="s">
        <v>60</v>
      </c>
      <c r="M65" s="11"/>
      <c r="N65" s="15"/>
      <c r="O65" s="11"/>
      <c r="P65" s="7" t="str">
        <f aca="false">IF(B65="","",IF(AND(L65="Approved",M65&lt;&gt;"",N65&lt;&gt;""),"Ready","Not yet"))</f>
        <v>Not yet</v>
      </c>
    </row>
    <row r="66" customFormat="false" ht="23.25" hidden="false" customHeight="true" outlineLevel="0" collapsed="false">
      <c r="A66" s="11" t="s">
        <v>1008</v>
      </c>
      <c r="B66" s="11" t="s">
        <v>78</v>
      </c>
      <c r="C66" s="11" t="s">
        <v>54</v>
      </c>
      <c r="D66" s="11"/>
      <c r="E66" s="11" t="s">
        <v>1002</v>
      </c>
      <c r="F66" s="11"/>
      <c r="G66" s="11" t="s">
        <v>1009</v>
      </c>
      <c r="H66" s="11"/>
      <c r="I66" s="11" t="s">
        <v>80</v>
      </c>
      <c r="J66" s="11" t="s">
        <v>728</v>
      </c>
      <c r="K66" s="11" t="s">
        <v>59</v>
      </c>
      <c r="L66" s="11" t="s">
        <v>60</v>
      </c>
      <c r="M66" s="11"/>
      <c r="N66" s="15"/>
      <c r="O66" s="11"/>
      <c r="P66" s="7" t="str">
        <f aca="false">IF(B66="","",IF(AND(L66="Approved",M66&lt;&gt;"",N66&lt;&gt;""),"Ready","Not yet"))</f>
        <v>Not yet</v>
      </c>
    </row>
    <row r="67" customFormat="false" ht="23.25" hidden="false" customHeight="true" outlineLevel="0" collapsed="false">
      <c r="A67" s="11" t="s">
        <v>1010</v>
      </c>
      <c r="B67" s="11" t="s">
        <v>70</v>
      </c>
      <c r="C67" s="11" t="s">
        <v>54</v>
      </c>
      <c r="D67" s="11"/>
      <c r="E67" s="11" t="s">
        <v>1002</v>
      </c>
      <c r="F67" s="11"/>
      <c r="G67" s="11" t="s">
        <v>1011</v>
      </c>
      <c r="H67" s="11"/>
      <c r="I67" s="11" t="s">
        <v>72</v>
      </c>
      <c r="J67" s="11" t="s">
        <v>728</v>
      </c>
      <c r="K67" s="11" t="s">
        <v>59</v>
      </c>
      <c r="L67" s="11" t="s">
        <v>60</v>
      </c>
      <c r="M67" s="11"/>
      <c r="N67" s="15"/>
      <c r="O67" s="11"/>
      <c r="P67" s="7" t="str">
        <f aca="false">IF(B67="","",IF(AND(L67="Approved",M67&lt;&gt;"",N67&lt;&gt;""),"Ready","Not yet"))</f>
        <v>Not yet</v>
      </c>
    </row>
    <row r="68" customFormat="false" ht="23.25" hidden="false" customHeight="true" outlineLevel="0" collapsed="false">
      <c r="A68" s="11" t="s">
        <v>1012</v>
      </c>
      <c r="B68" s="11" t="s">
        <v>82</v>
      </c>
      <c r="C68" s="11" t="s">
        <v>54</v>
      </c>
      <c r="D68" s="11"/>
      <c r="E68" s="11" t="s">
        <v>1002</v>
      </c>
      <c r="F68" s="11"/>
      <c r="G68" s="11" t="s">
        <v>1013</v>
      </c>
      <c r="H68" s="11"/>
      <c r="I68" s="11" t="s">
        <v>84</v>
      </c>
      <c r="J68" s="11" t="s">
        <v>728</v>
      </c>
      <c r="K68" s="11" t="s">
        <v>59</v>
      </c>
      <c r="L68" s="11" t="s">
        <v>60</v>
      </c>
      <c r="M68" s="11"/>
      <c r="N68" s="15"/>
      <c r="O68" s="11"/>
      <c r="P68" s="7" t="str">
        <f aca="false">IF(B68="","",IF(AND(L68="Approved",M68&lt;&gt;"",N68&lt;&gt;""),"Ready","Not yet"))</f>
        <v>Not yet</v>
      </c>
    </row>
    <row r="69" customFormat="false" ht="23.25" hidden="false" customHeight="true" outlineLevel="0" collapsed="false">
      <c r="A69" s="11" t="s">
        <v>1014</v>
      </c>
      <c r="B69" s="11" t="s">
        <v>90</v>
      </c>
      <c r="C69" s="11" t="s">
        <v>54</v>
      </c>
      <c r="D69" s="11"/>
      <c r="E69" s="11" t="s">
        <v>1002</v>
      </c>
      <c r="F69" s="11"/>
      <c r="G69" s="11" t="s">
        <v>1015</v>
      </c>
      <c r="H69" s="11"/>
      <c r="I69" s="11" t="s">
        <v>89</v>
      </c>
      <c r="J69" s="11" t="s">
        <v>728</v>
      </c>
      <c r="K69" s="11" t="s">
        <v>59</v>
      </c>
      <c r="L69" s="11" t="s">
        <v>60</v>
      </c>
      <c r="M69" s="11"/>
      <c r="N69" s="15"/>
      <c r="O69" s="11"/>
      <c r="P69" s="7" t="str">
        <f aca="false">IF(B69="","",IF(AND(L69="Approved",M69&lt;&gt;"",N69&lt;&gt;""),"Ready","Not yet"))</f>
        <v>Not yet</v>
      </c>
    </row>
    <row r="70" customFormat="false" ht="23.25" hidden="false" customHeight="true" outlineLevel="0" collapsed="false">
      <c r="A70" s="11" t="s">
        <v>1016</v>
      </c>
      <c r="B70" s="11" t="s">
        <v>93</v>
      </c>
      <c r="C70" s="11" t="s">
        <v>54</v>
      </c>
      <c r="D70" s="11"/>
      <c r="E70" s="11" t="s">
        <v>1002</v>
      </c>
      <c r="F70" s="11"/>
      <c r="G70" s="11" t="s">
        <v>1017</v>
      </c>
      <c r="H70" s="11"/>
      <c r="I70" s="11" t="s">
        <v>95</v>
      </c>
      <c r="J70" s="11" t="s">
        <v>728</v>
      </c>
      <c r="K70" s="11" t="s">
        <v>59</v>
      </c>
      <c r="L70" s="11" t="s">
        <v>60</v>
      </c>
      <c r="M70" s="11"/>
      <c r="N70" s="15"/>
      <c r="O70" s="11"/>
      <c r="P70" s="7" t="str">
        <f aca="false">IF(B70="","",IF(AND(L70="Approved",M70&lt;&gt;"",N70&lt;&gt;""),"Ready","Not yet"))</f>
        <v>Not yet</v>
      </c>
    </row>
    <row r="71" customFormat="false" ht="23.25" hidden="false" customHeight="true" outlineLevel="0" collapsed="false">
      <c r="A71" s="11" t="s">
        <v>1018</v>
      </c>
      <c r="B71" s="11" t="s">
        <v>86</v>
      </c>
      <c r="C71" s="11" t="s">
        <v>54</v>
      </c>
      <c r="D71" s="11"/>
      <c r="E71" s="11" t="s">
        <v>1002</v>
      </c>
      <c r="F71" s="11"/>
      <c r="G71" s="11" t="s">
        <v>1019</v>
      </c>
      <c r="H71" s="11"/>
      <c r="I71" s="11" t="s">
        <v>88</v>
      </c>
      <c r="J71" s="11" t="s">
        <v>728</v>
      </c>
      <c r="K71" s="11" t="s">
        <v>59</v>
      </c>
      <c r="L71" s="11" t="s">
        <v>60</v>
      </c>
      <c r="M71" s="11"/>
      <c r="N71" s="15"/>
      <c r="O71" s="11"/>
      <c r="P71" s="7" t="str">
        <f aca="false">IF(B71="","",IF(AND(L71="Approved",M71&lt;&gt;"",N71&lt;&gt;""),"Ready","Not yet"))</f>
        <v>Not yet</v>
      </c>
    </row>
    <row r="72" customFormat="false" ht="15" hidden="false" customHeight="true" outlineLevel="0" collapsed="false">
      <c r="A72" s="11"/>
      <c r="B72" s="11"/>
      <c r="C72" s="11"/>
      <c r="D72" s="11"/>
      <c r="E72" s="11"/>
      <c r="F72" s="11"/>
      <c r="G72" s="11"/>
      <c r="H72" s="11"/>
      <c r="I72" s="11"/>
      <c r="J72" s="11"/>
      <c r="K72" s="11"/>
      <c r="L72" s="11"/>
      <c r="M72" s="11"/>
      <c r="N72" s="15"/>
      <c r="O72" s="11"/>
      <c r="P72" s="7" t="str">
        <f aca="false">IF(B72="","",IF(AND(L72="Approved",M72&lt;&gt;"",N72&lt;&gt;""),"Ready","Not yet"))</f>
        <v/>
      </c>
    </row>
    <row r="73" customFormat="false" ht="15" hidden="false" customHeight="true" outlineLevel="0" collapsed="false">
      <c r="A73" s="11"/>
      <c r="B73" s="11"/>
      <c r="C73" s="11"/>
      <c r="D73" s="11"/>
      <c r="E73" s="11"/>
      <c r="F73" s="11"/>
      <c r="G73" s="11"/>
      <c r="H73" s="11"/>
      <c r="I73" s="11"/>
      <c r="J73" s="11"/>
      <c r="K73" s="11"/>
      <c r="L73" s="11"/>
      <c r="M73" s="11"/>
      <c r="N73" s="15"/>
      <c r="O73" s="11"/>
      <c r="P73" s="7" t="str">
        <f aca="false">IF(B73="","",IF(AND(L73="Approved",M73&lt;&gt;"",N73&lt;&gt;""),"Ready","Not yet"))</f>
        <v/>
      </c>
    </row>
    <row r="74" customFormat="false" ht="15" hidden="false" customHeight="true" outlineLevel="0" collapsed="false">
      <c r="A74" s="11"/>
      <c r="B74" s="11"/>
      <c r="C74" s="11"/>
      <c r="D74" s="11"/>
      <c r="E74" s="11"/>
      <c r="F74" s="11"/>
      <c r="G74" s="11"/>
      <c r="H74" s="11"/>
      <c r="I74" s="11"/>
      <c r="J74" s="11"/>
      <c r="K74" s="11"/>
      <c r="L74" s="11"/>
      <c r="M74" s="11"/>
      <c r="N74" s="15"/>
      <c r="O74" s="11"/>
      <c r="P74" s="7" t="str">
        <f aca="false">IF(B74="","",IF(AND(L74="Approved",M74&lt;&gt;"",N74&lt;&gt;""),"Ready","Not yet"))</f>
        <v/>
      </c>
    </row>
    <row r="75" customFormat="false" ht="15" hidden="false" customHeight="true" outlineLevel="0" collapsed="false">
      <c r="A75" s="11"/>
      <c r="B75" s="11"/>
      <c r="C75" s="11"/>
      <c r="D75" s="11"/>
      <c r="E75" s="11"/>
      <c r="F75" s="11"/>
      <c r="G75" s="11"/>
      <c r="H75" s="11"/>
      <c r="I75" s="11"/>
      <c r="J75" s="11"/>
      <c r="K75" s="11"/>
      <c r="L75" s="11"/>
      <c r="M75" s="11"/>
      <c r="N75" s="15"/>
      <c r="O75" s="11"/>
      <c r="P75" s="7" t="str">
        <f aca="false">IF(B75="","",IF(AND(L75="Approved",M75&lt;&gt;"",N75&lt;&gt;""),"Ready","Not yet"))</f>
        <v/>
      </c>
    </row>
    <row r="76" customFormat="false" ht="15" hidden="false" customHeight="true" outlineLevel="0" collapsed="false">
      <c r="A76" s="11"/>
      <c r="B76" s="11"/>
      <c r="C76" s="11"/>
      <c r="D76" s="11"/>
      <c r="E76" s="11"/>
      <c r="F76" s="11"/>
      <c r="G76" s="11"/>
      <c r="H76" s="11"/>
      <c r="I76" s="11"/>
      <c r="J76" s="11"/>
      <c r="K76" s="11"/>
      <c r="L76" s="11"/>
      <c r="M76" s="11"/>
      <c r="N76" s="15"/>
      <c r="O76" s="11"/>
      <c r="P76" s="7" t="str">
        <f aca="false">IF(B76="","",IF(AND(L76="Approved",M76&lt;&gt;"",N76&lt;&gt;""),"Ready","Not yet"))</f>
        <v/>
      </c>
    </row>
    <row r="77" customFormat="false" ht="15" hidden="false" customHeight="true" outlineLevel="0" collapsed="false">
      <c r="A77" s="11"/>
      <c r="B77" s="11"/>
      <c r="C77" s="11"/>
      <c r="D77" s="11"/>
      <c r="E77" s="11"/>
      <c r="F77" s="11"/>
      <c r="G77" s="11"/>
      <c r="H77" s="11"/>
      <c r="I77" s="11"/>
      <c r="J77" s="11"/>
      <c r="K77" s="11"/>
      <c r="L77" s="11"/>
      <c r="M77" s="11"/>
      <c r="N77" s="15"/>
      <c r="O77" s="11"/>
      <c r="P77" s="7" t="str">
        <f aca="false">IF(B77="","",IF(AND(L77="Approved",M77&lt;&gt;"",N77&lt;&gt;""),"Ready","Not yet"))</f>
        <v/>
      </c>
    </row>
    <row r="78" customFormat="false" ht="15" hidden="false" customHeight="true" outlineLevel="0" collapsed="false">
      <c r="A78" s="11"/>
      <c r="B78" s="11"/>
      <c r="C78" s="11"/>
      <c r="D78" s="11"/>
      <c r="E78" s="11"/>
      <c r="F78" s="11"/>
      <c r="G78" s="11"/>
      <c r="H78" s="11"/>
      <c r="I78" s="11"/>
      <c r="J78" s="11"/>
      <c r="K78" s="11"/>
      <c r="L78" s="11"/>
      <c r="M78" s="11"/>
      <c r="N78" s="15"/>
      <c r="O78" s="11"/>
      <c r="P78" s="7" t="str">
        <f aca="false">IF(B78="","",IF(AND(L78="Approved",M78&lt;&gt;"",N78&lt;&gt;""),"Ready","Not yet"))</f>
        <v/>
      </c>
    </row>
    <row r="79" customFormat="false" ht="15" hidden="false" customHeight="true" outlineLevel="0" collapsed="false">
      <c r="A79" s="11"/>
      <c r="B79" s="11"/>
      <c r="C79" s="11"/>
      <c r="D79" s="11"/>
      <c r="E79" s="11"/>
      <c r="F79" s="11"/>
      <c r="G79" s="11"/>
      <c r="H79" s="11"/>
      <c r="I79" s="11"/>
      <c r="J79" s="11"/>
      <c r="K79" s="11"/>
      <c r="L79" s="11"/>
      <c r="M79" s="11"/>
      <c r="N79" s="15"/>
      <c r="O79" s="11"/>
      <c r="P79" s="7" t="str">
        <f aca="false">IF(B79="","",IF(AND(L79="Approved",M79&lt;&gt;"",N79&lt;&gt;""),"Ready","Not yet"))</f>
        <v/>
      </c>
    </row>
    <row r="80" customFormat="false" ht="15" hidden="false" customHeight="true" outlineLevel="0" collapsed="false">
      <c r="A80" s="11"/>
      <c r="B80" s="11"/>
      <c r="C80" s="11"/>
      <c r="D80" s="11"/>
      <c r="E80" s="11"/>
      <c r="F80" s="11"/>
      <c r="G80" s="11"/>
      <c r="H80" s="11"/>
      <c r="I80" s="11"/>
      <c r="J80" s="11"/>
      <c r="K80" s="11"/>
      <c r="L80" s="11"/>
      <c r="M80" s="11"/>
      <c r="N80" s="15"/>
      <c r="O80" s="11"/>
      <c r="P80" s="7" t="str">
        <f aca="false">IF(B80="","",IF(AND(L80="Approved",M80&lt;&gt;"",N80&lt;&gt;""),"Ready","Not yet"))</f>
        <v/>
      </c>
    </row>
    <row r="81" customFormat="false" ht="15" hidden="false" customHeight="true" outlineLevel="0" collapsed="false">
      <c r="A81" s="11"/>
      <c r="B81" s="11"/>
      <c r="C81" s="11"/>
      <c r="D81" s="11"/>
      <c r="E81" s="11"/>
      <c r="F81" s="11"/>
      <c r="G81" s="11"/>
      <c r="H81" s="11"/>
      <c r="I81" s="11"/>
      <c r="J81" s="11"/>
      <c r="K81" s="11"/>
      <c r="L81" s="11"/>
      <c r="M81" s="11"/>
      <c r="N81" s="15"/>
      <c r="O81" s="11"/>
      <c r="P81" s="7" t="str">
        <f aca="false">IF(B81="","",IF(AND(L81="Approved",M81&lt;&gt;"",N81&lt;&gt;""),"Ready","Not yet"))</f>
        <v/>
      </c>
    </row>
    <row r="82" customFormat="false" ht="15" hidden="false" customHeight="true" outlineLevel="0" collapsed="false">
      <c r="A82" s="11"/>
      <c r="B82" s="11"/>
      <c r="C82" s="11"/>
      <c r="D82" s="11"/>
      <c r="E82" s="11"/>
      <c r="F82" s="11"/>
      <c r="G82" s="11"/>
      <c r="H82" s="11"/>
      <c r="I82" s="11"/>
      <c r="J82" s="11"/>
      <c r="K82" s="11"/>
      <c r="L82" s="11"/>
      <c r="M82" s="11"/>
      <c r="N82" s="15"/>
      <c r="O82" s="11"/>
      <c r="P82" s="7" t="str">
        <f aca="false">IF(B82="","",IF(AND(L82="Approved",M82&lt;&gt;"",N82&lt;&gt;""),"Ready","Not yet"))</f>
        <v/>
      </c>
    </row>
    <row r="83" customFormat="false" ht="15" hidden="false" customHeight="true" outlineLevel="0" collapsed="false">
      <c r="A83" s="11"/>
      <c r="B83" s="11"/>
      <c r="C83" s="11"/>
      <c r="D83" s="11"/>
      <c r="E83" s="11"/>
      <c r="F83" s="11"/>
      <c r="G83" s="11"/>
      <c r="H83" s="11"/>
      <c r="I83" s="11"/>
      <c r="J83" s="11"/>
      <c r="K83" s="11"/>
      <c r="L83" s="11"/>
      <c r="M83" s="11"/>
      <c r="N83" s="15"/>
      <c r="O83" s="11"/>
      <c r="P83" s="7" t="str">
        <f aca="false">IF(B83="","",IF(AND(L83="Approved",M83&lt;&gt;"",N83&lt;&gt;""),"Ready","Not yet"))</f>
        <v/>
      </c>
    </row>
    <row r="84" customFormat="false" ht="15" hidden="false" customHeight="true" outlineLevel="0" collapsed="false">
      <c r="A84" s="11"/>
      <c r="B84" s="11"/>
      <c r="C84" s="11"/>
      <c r="D84" s="11"/>
      <c r="E84" s="11"/>
      <c r="F84" s="11"/>
      <c r="G84" s="11"/>
      <c r="H84" s="11"/>
      <c r="I84" s="11"/>
      <c r="J84" s="11"/>
      <c r="K84" s="11"/>
      <c r="L84" s="11"/>
      <c r="M84" s="11"/>
      <c r="N84" s="15"/>
      <c r="O84" s="11"/>
      <c r="P84" s="7" t="str">
        <f aca="false">IF(B84="","",IF(AND(L84="Approved",M84&lt;&gt;"",N84&lt;&gt;""),"Ready","Not yet"))</f>
        <v/>
      </c>
    </row>
    <row r="85" customFormat="false" ht="15" hidden="false" customHeight="true" outlineLevel="0" collapsed="false">
      <c r="A85" s="11"/>
      <c r="B85" s="11"/>
      <c r="C85" s="11"/>
      <c r="D85" s="11"/>
      <c r="E85" s="11"/>
      <c r="F85" s="11"/>
      <c r="G85" s="11"/>
      <c r="H85" s="11"/>
      <c r="I85" s="11"/>
      <c r="J85" s="11"/>
      <c r="K85" s="11"/>
      <c r="L85" s="11"/>
      <c r="M85" s="11"/>
      <c r="N85" s="15"/>
      <c r="O85" s="11"/>
      <c r="P85" s="7" t="str">
        <f aca="false">IF(B85="","",IF(AND(L85="Approved",M85&lt;&gt;"",N85&lt;&gt;""),"Ready","Not yet"))</f>
        <v/>
      </c>
    </row>
    <row r="86" customFormat="false" ht="15" hidden="false" customHeight="true" outlineLevel="0" collapsed="false">
      <c r="A86" s="11"/>
      <c r="B86" s="11"/>
      <c r="C86" s="11"/>
      <c r="D86" s="11"/>
      <c r="E86" s="11"/>
      <c r="F86" s="11"/>
      <c r="G86" s="11"/>
      <c r="H86" s="11"/>
      <c r="I86" s="11"/>
      <c r="J86" s="11"/>
      <c r="K86" s="11"/>
      <c r="L86" s="11"/>
      <c r="M86" s="11"/>
      <c r="N86" s="15"/>
      <c r="O86" s="11"/>
      <c r="P86" s="7" t="str">
        <f aca="false">IF(B86="","",IF(AND(L86="Approved",M86&lt;&gt;"",N86&lt;&gt;""),"Ready","Not yet"))</f>
        <v/>
      </c>
    </row>
    <row r="87" customFormat="false" ht="15" hidden="false" customHeight="true" outlineLevel="0" collapsed="false">
      <c r="A87" s="11"/>
      <c r="B87" s="11"/>
      <c r="C87" s="11"/>
      <c r="D87" s="11"/>
      <c r="E87" s="11"/>
      <c r="F87" s="11"/>
      <c r="G87" s="11"/>
      <c r="H87" s="11"/>
      <c r="I87" s="11"/>
      <c r="J87" s="11"/>
      <c r="K87" s="11"/>
      <c r="L87" s="11"/>
      <c r="M87" s="11"/>
      <c r="N87" s="15"/>
      <c r="O87" s="11"/>
      <c r="P87" s="7" t="str">
        <f aca="false">IF(B87="","",IF(AND(L87="Approved",M87&lt;&gt;"",N87&lt;&gt;""),"Ready","Not yet"))</f>
        <v/>
      </c>
    </row>
    <row r="88" customFormat="false" ht="15" hidden="false" customHeight="true" outlineLevel="0" collapsed="false">
      <c r="A88" s="11"/>
      <c r="B88" s="11"/>
      <c r="C88" s="11"/>
      <c r="D88" s="11"/>
      <c r="E88" s="11"/>
      <c r="F88" s="11"/>
      <c r="G88" s="11"/>
      <c r="H88" s="11"/>
      <c r="I88" s="11"/>
      <c r="J88" s="11"/>
      <c r="K88" s="11"/>
      <c r="L88" s="11"/>
      <c r="M88" s="11"/>
      <c r="N88" s="15"/>
      <c r="O88" s="11"/>
      <c r="P88" s="7" t="str">
        <f aca="false">IF(B88="","",IF(AND(L88="Approved",M88&lt;&gt;"",N88&lt;&gt;""),"Ready","Not yet"))</f>
        <v/>
      </c>
    </row>
    <row r="89" customFormat="false" ht="15" hidden="false" customHeight="true" outlineLevel="0" collapsed="false">
      <c r="A89" s="11"/>
      <c r="B89" s="11"/>
      <c r="C89" s="11"/>
      <c r="D89" s="11"/>
      <c r="E89" s="11"/>
      <c r="F89" s="11"/>
      <c r="G89" s="11"/>
      <c r="H89" s="11"/>
      <c r="I89" s="11"/>
      <c r="J89" s="11"/>
      <c r="K89" s="11"/>
      <c r="L89" s="11"/>
      <c r="M89" s="11"/>
      <c r="N89" s="15"/>
      <c r="O89" s="11"/>
      <c r="P89" s="7" t="str">
        <f aca="false">IF(B89="","",IF(AND(L89="Approved",M89&lt;&gt;"",N89&lt;&gt;""),"Ready","Not yet"))</f>
        <v/>
      </c>
    </row>
    <row r="90" customFormat="false" ht="15" hidden="false" customHeight="true" outlineLevel="0" collapsed="false">
      <c r="A90" s="11"/>
      <c r="B90" s="11"/>
      <c r="C90" s="11"/>
      <c r="D90" s="11"/>
      <c r="E90" s="11"/>
      <c r="F90" s="11"/>
      <c r="G90" s="11"/>
      <c r="H90" s="11"/>
      <c r="I90" s="11"/>
      <c r="J90" s="11"/>
      <c r="K90" s="11"/>
      <c r="L90" s="11"/>
      <c r="M90" s="11"/>
      <c r="N90" s="15"/>
      <c r="O90" s="11"/>
      <c r="P90" s="7" t="str">
        <f aca="false">IF(B90="","",IF(AND(L90="Approved",M90&lt;&gt;"",N90&lt;&gt;""),"Ready","Not yet"))</f>
        <v/>
      </c>
    </row>
    <row r="91" customFormat="false" ht="15" hidden="false" customHeight="true" outlineLevel="0" collapsed="false">
      <c r="A91" s="11"/>
      <c r="B91" s="11"/>
      <c r="C91" s="11"/>
      <c r="D91" s="11"/>
      <c r="E91" s="11"/>
      <c r="F91" s="11"/>
      <c r="G91" s="11"/>
      <c r="H91" s="11"/>
      <c r="I91" s="11"/>
      <c r="J91" s="11"/>
      <c r="K91" s="11"/>
      <c r="L91" s="11"/>
      <c r="M91" s="11"/>
      <c r="N91" s="15"/>
      <c r="O91" s="11"/>
      <c r="P91" s="7" t="str">
        <f aca="false">IF(B91="","",IF(AND(L91="Approved",M91&lt;&gt;"",N91&lt;&gt;""),"Ready","Not yet"))</f>
        <v/>
      </c>
    </row>
    <row r="92" customFormat="false" ht="15" hidden="false" customHeight="true" outlineLevel="0" collapsed="false">
      <c r="A92" s="11"/>
      <c r="B92" s="11"/>
      <c r="C92" s="11"/>
      <c r="D92" s="11"/>
      <c r="E92" s="11"/>
      <c r="F92" s="11"/>
      <c r="G92" s="11"/>
      <c r="H92" s="11"/>
      <c r="I92" s="11"/>
      <c r="J92" s="11"/>
      <c r="K92" s="11"/>
      <c r="L92" s="11"/>
      <c r="M92" s="11"/>
      <c r="N92" s="15"/>
      <c r="O92" s="11"/>
      <c r="P92" s="7" t="str">
        <f aca="false">IF(B92="","",IF(AND(L92="Approved",M92&lt;&gt;"",N92&lt;&gt;""),"Ready","Not yet"))</f>
        <v/>
      </c>
    </row>
    <row r="93" customFormat="false" ht="15" hidden="false" customHeight="true" outlineLevel="0" collapsed="false">
      <c r="A93" s="11"/>
      <c r="B93" s="11"/>
      <c r="C93" s="11"/>
      <c r="D93" s="11"/>
      <c r="E93" s="11"/>
      <c r="F93" s="11"/>
      <c r="G93" s="11"/>
      <c r="H93" s="11"/>
      <c r="I93" s="11"/>
      <c r="J93" s="11"/>
      <c r="K93" s="11"/>
      <c r="L93" s="11"/>
      <c r="M93" s="11"/>
      <c r="N93" s="15"/>
      <c r="O93" s="11"/>
      <c r="P93" s="7" t="str">
        <f aca="false">IF(B93="","",IF(AND(L93="Approved",M93&lt;&gt;"",N93&lt;&gt;""),"Ready","Not yet"))</f>
        <v/>
      </c>
    </row>
    <row r="94" customFormat="false" ht="15" hidden="false" customHeight="true" outlineLevel="0" collapsed="false">
      <c r="A94" s="11"/>
      <c r="B94" s="11"/>
      <c r="C94" s="11"/>
      <c r="D94" s="11"/>
      <c r="E94" s="11"/>
      <c r="F94" s="11"/>
      <c r="G94" s="11"/>
      <c r="H94" s="11"/>
      <c r="I94" s="11"/>
      <c r="J94" s="11"/>
      <c r="K94" s="11"/>
      <c r="L94" s="11"/>
      <c r="M94" s="11"/>
      <c r="N94" s="15"/>
      <c r="O94" s="11"/>
      <c r="P94" s="7" t="str">
        <f aca="false">IF(B94="","",IF(AND(L94="Approved",M94&lt;&gt;"",N94&lt;&gt;""),"Ready","Not yet"))</f>
        <v/>
      </c>
    </row>
    <row r="95" customFormat="false" ht="15" hidden="false" customHeight="true" outlineLevel="0" collapsed="false">
      <c r="A95" s="11"/>
      <c r="B95" s="11"/>
      <c r="C95" s="11"/>
      <c r="D95" s="11"/>
      <c r="E95" s="11"/>
      <c r="F95" s="11"/>
      <c r="G95" s="11"/>
      <c r="H95" s="11"/>
      <c r="I95" s="11"/>
      <c r="J95" s="11"/>
      <c r="K95" s="11"/>
      <c r="L95" s="11"/>
      <c r="M95" s="11"/>
      <c r="N95" s="15"/>
      <c r="O95" s="11"/>
      <c r="P95" s="7" t="str">
        <f aca="false">IF(B95="","",IF(AND(L95="Approved",M95&lt;&gt;"",N95&lt;&gt;""),"Ready","Not yet"))</f>
        <v/>
      </c>
    </row>
    <row r="96" customFormat="false" ht="15" hidden="false" customHeight="true" outlineLevel="0" collapsed="false">
      <c r="A96" s="11"/>
      <c r="B96" s="11"/>
      <c r="C96" s="11"/>
      <c r="D96" s="11"/>
      <c r="E96" s="11"/>
      <c r="F96" s="11"/>
      <c r="G96" s="11"/>
      <c r="H96" s="11"/>
      <c r="I96" s="11"/>
      <c r="J96" s="11"/>
      <c r="K96" s="11"/>
      <c r="L96" s="11"/>
      <c r="M96" s="11"/>
      <c r="N96" s="15"/>
      <c r="O96" s="11"/>
      <c r="P96" s="7" t="str">
        <f aca="false">IF(B96="","",IF(AND(L96="Approved",M96&lt;&gt;"",N96&lt;&gt;""),"Ready","Not yet"))</f>
        <v/>
      </c>
    </row>
    <row r="97" customFormat="false" ht="15" hidden="false" customHeight="true" outlineLevel="0" collapsed="false">
      <c r="A97" s="11"/>
      <c r="B97" s="11"/>
      <c r="C97" s="11"/>
      <c r="D97" s="11"/>
      <c r="E97" s="11"/>
      <c r="F97" s="11"/>
      <c r="G97" s="11"/>
      <c r="H97" s="11"/>
      <c r="I97" s="11"/>
      <c r="J97" s="11"/>
      <c r="K97" s="11"/>
      <c r="L97" s="11"/>
      <c r="M97" s="11"/>
      <c r="N97" s="15"/>
      <c r="O97" s="11"/>
      <c r="P97" s="7" t="str">
        <f aca="false">IF(B97="","",IF(AND(L97="Approved",M97&lt;&gt;"",N97&lt;&gt;""),"Ready","Not yet"))</f>
        <v/>
      </c>
    </row>
    <row r="98" customFormat="false" ht="15" hidden="false" customHeight="true" outlineLevel="0" collapsed="false">
      <c r="A98" s="11"/>
      <c r="B98" s="11"/>
      <c r="C98" s="11"/>
      <c r="D98" s="11"/>
      <c r="E98" s="11"/>
      <c r="F98" s="11"/>
      <c r="G98" s="11"/>
      <c r="H98" s="11"/>
      <c r="I98" s="11"/>
      <c r="J98" s="11"/>
      <c r="K98" s="11"/>
      <c r="L98" s="11"/>
      <c r="M98" s="11"/>
      <c r="N98" s="15"/>
      <c r="O98" s="11"/>
      <c r="P98" s="7" t="str">
        <f aca="false">IF(B98="","",IF(AND(L98="Approved",M98&lt;&gt;"",N98&lt;&gt;""),"Ready","Not yet"))</f>
        <v/>
      </c>
    </row>
    <row r="99" customFormat="false" ht="15" hidden="false" customHeight="true" outlineLevel="0" collapsed="false">
      <c r="A99" s="11"/>
      <c r="B99" s="11"/>
      <c r="C99" s="11"/>
      <c r="D99" s="11"/>
      <c r="E99" s="11"/>
      <c r="F99" s="11"/>
      <c r="G99" s="11"/>
      <c r="H99" s="11"/>
      <c r="I99" s="11"/>
      <c r="J99" s="11"/>
      <c r="K99" s="11"/>
      <c r="L99" s="11"/>
      <c r="M99" s="11"/>
      <c r="N99" s="15"/>
      <c r="O99" s="11"/>
      <c r="P99" s="7" t="str">
        <f aca="false">IF(B99="","",IF(AND(L99="Approved",M99&lt;&gt;"",N99&lt;&gt;""),"Ready","Not yet"))</f>
        <v/>
      </c>
    </row>
    <row r="100" customFormat="false" ht="15" hidden="false" customHeight="true" outlineLevel="0" collapsed="false">
      <c r="A100" s="11"/>
      <c r="B100" s="11"/>
      <c r="C100" s="11"/>
      <c r="D100" s="11"/>
      <c r="E100" s="11"/>
      <c r="F100" s="11"/>
      <c r="G100" s="11"/>
      <c r="H100" s="11"/>
      <c r="I100" s="11"/>
      <c r="J100" s="11"/>
      <c r="K100" s="11"/>
      <c r="L100" s="11"/>
      <c r="M100" s="11"/>
      <c r="N100" s="15"/>
      <c r="O100" s="11"/>
      <c r="P100" s="7" t="str">
        <f aca="false">IF(B100="","",IF(AND(L100="Approved",M100&lt;&gt;"",N100&lt;&gt;""),"Ready","Not yet"))</f>
        <v/>
      </c>
    </row>
    <row r="101" customFormat="false" ht="15" hidden="false" customHeight="true" outlineLevel="0" collapsed="false">
      <c r="A101" s="11"/>
      <c r="B101" s="11"/>
      <c r="C101" s="11"/>
      <c r="D101" s="11"/>
      <c r="E101" s="11"/>
      <c r="F101" s="11"/>
      <c r="G101" s="11"/>
      <c r="H101" s="11"/>
      <c r="I101" s="11"/>
      <c r="J101" s="11"/>
      <c r="K101" s="11"/>
      <c r="L101" s="11"/>
      <c r="M101" s="11"/>
      <c r="N101" s="15"/>
      <c r="O101" s="11"/>
      <c r="P101" s="7" t="str">
        <f aca="false">IF(B101="","",IF(AND(L101="Approved",M101&lt;&gt;"",N101&lt;&gt;""),"Ready","Not yet"))</f>
        <v/>
      </c>
    </row>
    <row r="102" customFormat="false" ht="15" hidden="false" customHeight="true" outlineLevel="0" collapsed="false">
      <c r="A102" s="11"/>
      <c r="B102" s="11"/>
      <c r="C102" s="11"/>
      <c r="D102" s="11"/>
      <c r="E102" s="11"/>
      <c r="F102" s="11"/>
      <c r="G102" s="11"/>
      <c r="H102" s="11"/>
      <c r="I102" s="11"/>
      <c r="J102" s="11"/>
      <c r="K102" s="11"/>
      <c r="L102" s="11"/>
      <c r="M102" s="11"/>
      <c r="N102" s="15"/>
      <c r="O102" s="11"/>
      <c r="P102" s="7" t="str">
        <f aca="false">IF(B102="","",IF(AND(L102="Approved",M102&lt;&gt;"",N102&lt;&gt;""),"Ready","Not yet"))</f>
        <v/>
      </c>
    </row>
    <row r="103" customFormat="false" ht="15" hidden="false" customHeight="true" outlineLevel="0" collapsed="false">
      <c r="A103" s="11"/>
      <c r="B103" s="11"/>
      <c r="C103" s="11"/>
      <c r="D103" s="11"/>
      <c r="E103" s="11"/>
      <c r="F103" s="11"/>
      <c r="G103" s="11"/>
      <c r="H103" s="11"/>
      <c r="I103" s="11"/>
      <c r="J103" s="11"/>
      <c r="K103" s="11"/>
      <c r="L103" s="11"/>
      <c r="M103" s="11"/>
      <c r="N103" s="15"/>
      <c r="O103" s="11"/>
      <c r="P103" s="7" t="str">
        <f aca="false">IF(B103="","",IF(AND(L103="Approved",M103&lt;&gt;"",N103&lt;&gt;""),"Ready","Not yet"))</f>
        <v/>
      </c>
    </row>
    <row r="104" customFormat="false" ht="15" hidden="false" customHeight="true" outlineLevel="0" collapsed="false">
      <c r="A104" s="11"/>
      <c r="B104" s="11"/>
      <c r="C104" s="11"/>
      <c r="D104" s="11"/>
      <c r="E104" s="11"/>
      <c r="F104" s="11"/>
      <c r="G104" s="11"/>
      <c r="H104" s="11"/>
      <c r="I104" s="11"/>
      <c r="J104" s="11"/>
      <c r="K104" s="11"/>
      <c r="L104" s="11"/>
      <c r="M104" s="11"/>
      <c r="N104" s="15"/>
      <c r="O104" s="11"/>
      <c r="P104" s="7" t="str">
        <f aca="false">IF(B104="","",IF(AND(L104="Approved",M104&lt;&gt;"",N104&lt;&gt;""),"Ready","Not yet"))</f>
        <v/>
      </c>
    </row>
    <row r="105" customFormat="false" ht="15" hidden="false" customHeight="true" outlineLevel="0" collapsed="false">
      <c r="A105" s="11"/>
      <c r="B105" s="11"/>
      <c r="C105" s="11"/>
      <c r="D105" s="11"/>
      <c r="E105" s="11"/>
      <c r="F105" s="11"/>
      <c r="G105" s="11"/>
      <c r="H105" s="11"/>
      <c r="I105" s="11"/>
      <c r="J105" s="11"/>
      <c r="K105" s="11"/>
      <c r="L105" s="11"/>
      <c r="M105" s="11"/>
      <c r="N105" s="15"/>
      <c r="O105" s="11"/>
      <c r="P105" s="7" t="str">
        <f aca="false">IF(B105="","",IF(AND(L105="Approved",M105&lt;&gt;"",N105&lt;&gt;""),"Ready","Not yet"))</f>
        <v/>
      </c>
    </row>
    <row r="106" customFormat="false" ht="15" hidden="false" customHeight="true" outlineLevel="0" collapsed="false">
      <c r="A106" s="11"/>
      <c r="B106" s="11"/>
      <c r="C106" s="11"/>
      <c r="D106" s="11"/>
      <c r="E106" s="11"/>
      <c r="F106" s="11"/>
      <c r="G106" s="11"/>
      <c r="H106" s="11"/>
      <c r="I106" s="11"/>
      <c r="J106" s="11"/>
      <c r="K106" s="11"/>
      <c r="L106" s="11"/>
      <c r="M106" s="11"/>
      <c r="N106" s="15"/>
      <c r="O106" s="11"/>
      <c r="P106" s="7" t="str">
        <f aca="false">IF(B106="","",IF(AND(L106="Approved",M106&lt;&gt;"",N106&lt;&gt;""),"Ready","Not yet"))</f>
        <v/>
      </c>
    </row>
    <row r="107" customFormat="false" ht="15" hidden="false" customHeight="true" outlineLevel="0" collapsed="false">
      <c r="A107" s="11"/>
      <c r="B107" s="11"/>
      <c r="C107" s="11"/>
      <c r="D107" s="11"/>
      <c r="E107" s="11"/>
      <c r="F107" s="11"/>
      <c r="G107" s="11"/>
      <c r="H107" s="11"/>
      <c r="I107" s="11"/>
      <c r="J107" s="11"/>
      <c r="K107" s="11"/>
      <c r="L107" s="11"/>
      <c r="M107" s="11"/>
      <c r="N107" s="15"/>
      <c r="O107" s="11"/>
      <c r="P107" s="7" t="str">
        <f aca="false">IF(B107="","",IF(AND(L107="Approved",M107&lt;&gt;"",N107&lt;&gt;""),"Ready","Not yet"))</f>
        <v/>
      </c>
    </row>
    <row r="108" customFormat="false" ht="15" hidden="false" customHeight="true" outlineLevel="0" collapsed="false">
      <c r="A108" s="11"/>
      <c r="B108" s="11"/>
      <c r="C108" s="11"/>
      <c r="D108" s="11"/>
      <c r="E108" s="11"/>
      <c r="F108" s="11"/>
      <c r="G108" s="11"/>
      <c r="H108" s="11"/>
      <c r="I108" s="11"/>
      <c r="J108" s="11"/>
      <c r="K108" s="11"/>
      <c r="L108" s="11"/>
      <c r="M108" s="11"/>
      <c r="N108" s="15"/>
      <c r="O108" s="11"/>
      <c r="P108" s="7" t="str">
        <f aca="false">IF(B108="","",IF(AND(L108="Approved",M108&lt;&gt;"",N108&lt;&gt;""),"Ready","Not yet"))</f>
        <v/>
      </c>
    </row>
    <row r="109" customFormat="false" ht="15" hidden="false" customHeight="true" outlineLevel="0" collapsed="false">
      <c r="A109" s="11"/>
      <c r="B109" s="11"/>
      <c r="C109" s="11"/>
      <c r="D109" s="11"/>
      <c r="E109" s="11"/>
      <c r="F109" s="11"/>
      <c r="G109" s="11"/>
      <c r="H109" s="11"/>
      <c r="I109" s="11"/>
      <c r="J109" s="11"/>
      <c r="K109" s="11"/>
      <c r="L109" s="11"/>
      <c r="M109" s="11"/>
      <c r="N109" s="15"/>
      <c r="O109" s="11"/>
      <c r="P109" s="7" t="str">
        <f aca="false">IF(B109="","",IF(AND(L109="Approved",M109&lt;&gt;"",N109&lt;&gt;""),"Ready","Not yet"))</f>
        <v/>
      </c>
    </row>
    <row r="110" customFormat="false" ht="15" hidden="false" customHeight="true" outlineLevel="0" collapsed="false">
      <c r="A110" s="11"/>
      <c r="B110" s="11"/>
      <c r="C110" s="11"/>
      <c r="D110" s="11"/>
      <c r="E110" s="11"/>
      <c r="F110" s="11"/>
      <c r="G110" s="11"/>
      <c r="H110" s="11"/>
      <c r="I110" s="11"/>
      <c r="J110" s="11"/>
      <c r="K110" s="11"/>
      <c r="L110" s="11"/>
      <c r="M110" s="11"/>
      <c r="N110" s="15"/>
      <c r="O110" s="11"/>
      <c r="P110" s="7" t="str">
        <f aca="false">IF(B110="","",IF(AND(L110="Approved",M110&lt;&gt;"",N110&lt;&gt;""),"Ready","Not yet"))</f>
        <v/>
      </c>
    </row>
    <row r="111" customFormat="false" ht="15" hidden="false" customHeight="true" outlineLevel="0" collapsed="false">
      <c r="A111" s="11"/>
      <c r="B111" s="11"/>
      <c r="C111" s="11"/>
      <c r="D111" s="11"/>
      <c r="E111" s="11"/>
      <c r="F111" s="11"/>
      <c r="G111" s="11"/>
      <c r="H111" s="11"/>
      <c r="I111" s="11"/>
      <c r="J111" s="11"/>
      <c r="K111" s="11"/>
      <c r="L111" s="11"/>
      <c r="M111" s="11"/>
      <c r="N111" s="15"/>
      <c r="O111" s="11"/>
      <c r="P111" s="7" t="str">
        <f aca="false">IF(B111="","",IF(AND(L111="Approved",M111&lt;&gt;"",N111&lt;&gt;""),"Ready","Not yet"))</f>
        <v/>
      </c>
    </row>
    <row r="112" customFormat="false" ht="15" hidden="false" customHeight="true" outlineLevel="0" collapsed="false">
      <c r="A112" s="11"/>
      <c r="B112" s="11"/>
      <c r="C112" s="11"/>
      <c r="D112" s="11"/>
      <c r="E112" s="11"/>
      <c r="F112" s="11"/>
      <c r="G112" s="11"/>
      <c r="H112" s="11"/>
      <c r="I112" s="11"/>
      <c r="J112" s="11"/>
      <c r="K112" s="11"/>
      <c r="L112" s="11"/>
      <c r="M112" s="11"/>
      <c r="N112" s="15"/>
      <c r="O112" s="11"/>
      <c r="P112" s="7" t="str">
        <f aca="false">IF(B112="","",IF(AND(L112="Approved",M112&lt;&gt;"",N112&lt;&gt;""),"Ready","Not yet"))</f>
        <v/>
      </c>
    </row>
    <row r="113" customFormat="false" ht="15" hidden="false" customHeight="true" outlineLevel="0" collapsed="false">
      <c r="A113" s="11"/>
      <c r="B113" s="11"/>
      <c r="C113" s="11"/>
      <c r="D113" s="11"/>
      <c r="E113" s="11"/>
      <c r="F113" s="11"/>
      <c r="G113" s="11"/>
      <c r="H113" s="11"/>
      <c r="I113" s="11"/>
      <c r="J113" s="11"/>
      <c r="K113" s="11"/>
      <c r="L113" s="11"/>
      <c r="M113" s="11"/>
      <c r="N113" s="15"/>
      <c r="O113" s="11"/>
      <c r="P113" s="7" t="str">
        <f aca="false">IF(B113="","",IF(AND(L113="Approved",M113&lt;&gt;"",N113&lt;&gt;""),"Ready","Not yet"))</f>
        <v/>
      </c>
    </row>
    <row r="114" customFormat="false" ht="15" hidden="false" customHeight="true" outlineLevel="0" collapsed="false">
      <c r="A114" s="11"/>
      <c r="B114" s="11"/>
      <c r="C114" s="11"/>
      <c r="D114" s="11"/>
      <c r="E114" s="11"/>
      <c r="F114" s="11"/>
      <c r="G114" s="11"/>
      <c r="H114" s="11"/>
      <c r="I114" s="11"/>
      <c r="J114" s="11"/>
      <c r="K114" s="11"/>
      <c r="L114" s="11"/>
      <c r="M114" s="11"/>
      <c r="N114" s="15"/>
      <c r="O114" s="11"/>
      <c r="P114" s="7" t="str">
        <f aca="false">IF(B114="","",IF(AND(L114="Approved",M114&lt;&gt;"",N114&lt;&gt;""),"Ready","Not yet"))</f>
        <v/>
      </c>
    </row>
    <row r="115" customFormat="false" ht="15" hidden="false" customHeight="true" outlineLevel="0" collapsed="false">
      <c r="A115" s="11"/>
      <c r="B115" s="11"/>
      <c r="C115" s="11"/>
      <c r="D115" s="11"/>
      <c r="E115" s="11"/>
      <c r="F115" s="11"/>
      <c r="G115" s="11"/>
      <c r="H115" s="11"/>
      <c r="I115" s="11"/>
      <c r="J115" s="11"/>
      <c r="K115" s="11"/>
      <c r="L115" s="11"/>
      <c r="M115" s="11"/>
      <c r="N115" s="15"/>
      <c r="O115" s="11"/>
      <c r="P115" s="7" t="str">
        <f aca="false">IF(B115="","",IF(AND(L115="Approved",M115&lt;&gt;"",N115&lt;&gt;""),"Ready","Not yet"))</f>
        <v/>
      </c>
    </row>
    <row r="116" customFormat="false" ht="15" hidden="false" customHeight="true" outlineLevel="0" collapsed="false">
      <c r="A116" s="11"/>
      <c r="B116" s="11"/>
      <c r="C116" s="11"/>
      <c r="D116" s="11"/>
      <c r="E116" s="11"/>
      <c r="F116" s="11"/>
      <c r="G116" s="11"/>
      <c r="H116" s="11"/>
      <c r="I116" s="11"/>
      <c r="J116" s="11"/>
      <c r="K116" s="11"/>
      <c r="L116" s="11"/>
      <c r="M116" s="11"/>
      <c r="N116" s="15"/>
      <c r="O116" s="11"/>
      <c r="P116" s="7" t="str">
        <f aca="false">IF(B116="","",IF(AND(L116="Approved",M116&lt;&gt;"",N116&lt;&gt;""),"Ready","Not yet"))</f>
        <v/>
      </c>
    </row>
    <row r="117" customFormat="false" ht="15" hidden="false" customHeight="true" outlineLevel="0" collapsed="false">
      <c r="A117" s="11"/>
      <c r="B117" s="11"/>
      <c r="C117" s="11"/>
      <c r="D117" s="11"/>
      <c r="E117" s="11"/>
      <c r="F117" s="11"/>
      <c r="G117" s="11"/>
      <c r="H117" s="11"/>
      <c r="I117" s="11"/>
      <c r="J117" s="11"/>
      <c r="K117" s="11"/>
      <c r="L117" s="11"/>
      <c r="M117" s="11"/>
      <c r="N117" s="15"/>
      <c r="O117" s="11"/>
      <c r="P117" s="7" t="str">
        <f aca="false">IF(B117="","",IF(AND(L117="Approved",M117&lt;&gt;"",N117&lt;&gt;""),"Ready","Not yet"))</f>
        <v/>
      </c>
    </row>
    <row r="118" customFormat="false" ht="15" hidden="false" customHeight="true" outlineLevel="0" collapsed="false">
      <c r="A118" s="11"/>
      <c r="B118" s="11"/>
      <c r="C118" s="11"/>
      <c r="D118" s="11"/>
      <c r="E118" s="11"/>
      <c r="F118" s="11"/>
      <c r="G118" s="11"/>
      <c r="H118" s="11"/>
      <c r="I118" s="11"/>
      <c r="J118" s="11"/>
      <c r="K118" s="11"/>
      <c r="L118" s="11"/>
      <c r="M118" s="11"/>
      <c r="N118" s="15"/>
      <c r="O118" s="11"/>
      <c r="P118" s="7" t="str">
        <f aca="false">IF(B118="","",IF(AND(L118="Approved",M118&lt;&gt;"",N118&lt;&gt;""),"Ready","Not yet"))</f>
        <v/>
      </c>
    </row>
    <row r="119" customFormat="false" ht="15" hidden="false" customHeight="true" outlineLevel="0" collapsed="false">
      <c r="A119" s="11"/>
      <c r="B119" s="11"/>
      <c r="C119" s="11"/>
      <c r="D119" s="11"/>
      <c r="E119" s="11"/>
      <c r="F119" s="11"/>
      <c r="G119" s="11"/>
      <c r="H119" s="11"/>
      <c r="I119" s="11"/>
      <c r="J119" s="11"/>
      <c r="K119" s="11"/>
      <c r="L119" s="11"/>
      <c r="M119" s="11"/>
      <c r="N119" s="15"/>
      <c r="O119" s="11"/>
      <c r="P119" s="7" t="str">
        <f aca="false">IF(B119="","",IF(AND(L119="Approved",M119&lt;&gt;"",N119&lt;&gt;""),"Ready","Not yet"))</f>
        <v/>
      </c>
    </row>
    <row r="120" customFormat="false" ht="15" hidden="false" customHeight="true" outlineLevel="0" collapsed="false">
      <c r="A120" s="11"/>
      <c r="B120" s="11"/>
      <c r="C120" s="11"/>
      <c r="D120" s="11"/>
      <c r="E120" s="11"/>
      <c r="F120" s="11"/>
      <c r="G120" s="11"/>
      <c r="H120" s="11"/>
      <c r="I120" s="11"/>
      <c r="J120" s="11"/>
      <c r="K120" s="11"/>
      <c r="L120" s="11"/>
      <c r="M120" s="11"/>
      <c r="N120" s="15"/>
      <c r="O120" s="11"/>
      <c r="P120" s="7" t="str">
        <f aca="false">IF(B120="","",IF(AND(L120="Approved",M120&lt;&gt;"",N120&lt;&gt;""),"Ready","Not yet"))</f>
        <v/>
      </c>
    </row>
    <row r="121" customFormat="false" ht="15" hidden="false" customHeight="true" outlineLevel="0" collapsed="false">
      <c r="A121" s="11"/>
      <c r="B121" s="11"/>
      <c r="C121" s="11"/>
      <c r="D121" s="11"/>
      <c r="E121" s="11"/>
      <c r="F121" s="11"/>
      <c r="G121" s="11"/>
      <c r="H121" s="11"/>
      <c r="I121" s="11"/>
      <c r="J121" s="11"/>
      <c r="K121" s="11"/>
      <c r="L121" s="11"/>
      <c r="M121" s="11"/>
      <c r="N121" s="15"/>
      <c r="O121" s="11"/>
      <c r="P121" s="7" t="str">
        <f aca="false">IF(B121="","",IF(AND(L121="Approved",M121&lt;&gt;"",N121&lt;&gt;""),"Ready","Not yet"))</f>
        <v/>
      </c>
    </row>
    <row r="122" customFormat="false" ht="15" hidden="false" customHeight="true" outlineLevel="0" collapsed="false">
      <c r="A122" s="11"/>
      <c r="B122" s="11"/>
      <c r="C122" s="11"/>
      <c r="D122" s="11"/>
      <c r="E122" s="11"/>
      <c r="F122" s="11"/>
      <c r="G122" s="11"/>
      <c r="H122" s="11"/>
      <c r="I122" s="11"/>
      <c r="J122" s="11"/>
      <c r="K122" s="11"/>
      <c r="L122" s="11"/>
      <c r="M122" s="11"/>
      <c r="N122" s="15"/>
      <c r="O122" s="11"/>
      <c r="P122" s="7" t="str">
        <f aca="false">IF(B122="","",IF(AND(L122="Approved",M122&lt;&gt;"",N122&lt;&gt;""),"Ready","Not yet"))</f>
        <v/>
      </c>
    </row>
    <row r="123" customFormat="false" ht="15" hidden="false" customHeight="true" outlineLevel="0" collapsed="false">
      <c r="A123" s="11"/>
      <c r="B123" s="11"/>
      <c r="C123" s="11"/>
      <c r="D123" s="11"/>
      <c r="E123" s="11"/>
      <c r="F123" s="11"/>
      <c r="G123" s="11"/>
      <c r="H123" s="11"/>
      <c r="I123" s="11"/>
      <c r="J123" s="11"/>
      <c r="K123" s="11"/>
      <c r="L123" s="11"/>
      <c r="M123" s="11"/>
      <c r="N123" s="15"/>
      <c r="O123" s="11"/>
      <c r="P123" s="7" t="str">
        <f aca="false">IF(B123="","",IF(AND(L123="Approved",M123&lt;&gt;"",N123&lt;&gt;""),"Ready","Not yet"))</f>
        <v/>
      </c>
    </row>
    <row r="124" customFormat="false" ht="15" hidden="false" customHeight="true" outlineLevel="0" collapsed="false">
      <c r="A124" s="11"/>
      <c r="B124" s="11"/>
      <c r="C124" s="11"/>
      <c r="D124" s="11"/>
      <c r="E124" s="11"/>
      <c r="F124" s="11"/>
      <c r="G124" s="11"/>
      <c r="H124" s="11"/>
      <c r="I124" s="11"/>
      <c r="J124" s="11"/>
      <c r="K124" s="11"/>
      <c r="L124" s="11"/>
      <c r="M124" s="11"/>
      <c r="N124" s="15"/>
      <c r="O124" s="11"/>
      <c r="P124" s="7" t="str">
        <f aca="false">IF(B124="","",IF(AND(L124="Approved",M124&lt;&gt;"",N124&lt;&gt;""),"Ready","Not yet"))</f>
        <v/>
      </c>
    </row>
    <row r="125" customFormat="false" ht="15" hidden="false" customHeight="true" outlineLevel="0" collapsed="false">
      <c r="A125" s="11"/>
      <c r="B125" s="11"/>
      <c r="C125" s="11"/>
      <c r="D125" s="11"/>
      <c r="E125" s="11"/>
      <c r="F125" s="11"/>
      <c r="G125" s="11"/>
      <c r="H125" s="11"/>
      <c r="I125" s="11"/>
      <c r="J125" s="11"/>
      <c r="K125" s="11"/>
      <c r="L125" s="11"/>
      <c r="M125" s="11"/>
      <c r="N125" s="15"/>
      <c r="O125" s="11"/>
      <c r="P125" s="7" t="str">
        <f aca="false">IF(B125="","",IF(AND(L125="Approved",M125&lt;&gt;"",N125&lt;&gt;""),"Ready","Not yet"))</f>
        <v/>
      </c>
    </row>
    <row r="126" customFormat="false" ht="15" hidden="false" customHeight="true" outlineLevel="0" collapsed="false">
      <c r="A126" s="11"/>
      <c r="B126" s="11"/>
      <c r="C126" s="11"/>
      <c r="D126" s="11"/>
      <c r="E126" s="11"/>
      <c r="F126" s="11"/>
      <c r="G126" s="11"/>
      <c r="H126" s="11"/>
      <c r="I126" s="11"/>
      <c r="J126" s="11"/>
      <c r="K126" s="11"/>
      <c r="L126" s="11"/>
      <c r="M126" s="11"/>
      <c r="N126" s="15"/>
      <c r="O126" s="11"/>
      <c r="P126" s="7" t="str">
        <f aca="false">IF(B126="","",IF(AND(L126="Approved",M126&lt;&gt;"",N126&lt;&gt;""),"Ready","Not yet"))</f>
        <v/>
      </c>
    </row>
    <row r="127" customFormat="false" ht="15" hidden="false" customHeight="true" outlineLevel="0" collapsed="false">
      <c r="A127" s="11"/>
      <c r="B127" s="11"/>
      <c r="C127" s="11"/>
      <c r="D127" s="11"/>
      <c r="E127" s="11"/>
      <c r="F127" s="11"/>
      <c r="G127" s="11"/>
      <c r="H127" s="11"/>
      <c r="I127" s="11"/>
      <c r="J127" s="11"/>
      <c r="K127" s="11"/>
      <c r="L127" s="11"/>
      <c r="M127" s="11"/>
      <c r="N127" s="15"/>
      <c r="O127" s="11"/>
      <c r="P127" s="7" t="str">
        <f aca="false">IF(B127="","",IF(AND(L127="Approved",M127&lt;&gt;"",N127&lt;&gt;""),"Ready","Not yet"))</f>
        <v/>
      </c>
    </row>
    <row r="128" customFormat="false" ht="15" hidden="false" customHeight="true" outlineLevel="0" collapsed="false">
      <c r="A128" s="11"/>
      <c r="B128" s="11"/>
      <c r="C128" s="11"/>
      <c r="D128" s="11"/>
      <c r="E128" s="11"/>
      <c r="F128" s="11"/>
      <c r="G128" s="11"/>
      <c r="H128" s="11"/>
      <c r="I128" s="11"/>
      <c r="J128" s="11"/>
      <c r="K128" s="11"/>
      <c r="L128" s="11"/>
      <c r="M128" s="11"/>
      <c r="N128" s="15"/>
      <c r="O128" s="11"/>
      <c r="P128" s="7" t="str">
        <f aca="false">IF(B128="","",IF(AND(L128="Approved",M128&lt;&gt;"",N128&lt;&gt;""),"Ready","Not yet"))</f>
        <v/>
      </c>
    </row>
    <row r="129" customFormat="false" ht="15" hidden="false" customHeight="true" outlineLevel="0" collapsed="false">
      <c r="A129" s="11"/>
      <c r="B129" s="11"/>
      <c r="C129" s="11"/>
      <c r="D129" s="11"/>
      <c r="E129" s="11"/>
      <c r="F129" s="11"/>
      <c r="G129" s="11"/>
      <c r="H129" s="11"/>
      <c r="I129" s="11"/>
      <c r="J129" s="11"/>
      <c r="K129" s="11"/>
      <c r="L129" s="11"/>
      <c r="M129" s="11"/>
      <c r="N129" s="15"/>
      <c r="O129" s="11"/>
      <c r="P129" s="7" t="str">
        <f aca="false">IF(B129="","",IF(AND(L129="Approved",M129&lt;&gt;"",N129&lt;&gt;""),"Ready","Not yet"))</f>
        <v/>
      </c>
    </row>
    <row r="130" customFormat="false" ht="15" hidden="false" customHeight="true" outlineLevel="0" collapsed="false">
      <c r="A130" s="11"/>
      <c r="B130" s="11"/>
      <c r="C130" s="11"/>
      <c r="D130" s="11"/>
      <c r="E130" s="11"/>
      <c r="F130" s="11"/>
      <c r="G130" s="11"/>
      <c r="H130" s="11"/>
      <c r="I130" s="11"/>
      <c r="J130" s="11"/>
      <c r="K130" s="11"/>
      <c r="L130" s="11"/>
      <c r="M130" s="11"/>
      <c r="N130" s="15"/>
      <c r="O130" s="11"/>
      <c r="P130" s="7" t="str">
        <f aca="false">IF(B130="","",IF(AND(L130="Approved",M130&lt;&gt;"",N130&lt;&gt;""),"Ready","Not yet"))</f>
        <v/>
      </c>
    </row>
    <row r="131" customFormat="false" ht="15" hidden="false" customHeight="true" outlineLevel="0" collapsed="false">
      <c r="A131" s="11"/>
      <c r="B131" s="11"/>
      <c r="C131" s="11"/>
      <c r="D131" s="11"/>
      <c r="E131" s="11"/>
      <c r="F131" s="11"/>
      <c r="G131" s="11"/>
      <c r="H131" s="11"/>
      <c r="I131" s="11"/>
      <c r="J131" s="11"/>
      <c r="K131" s="11"/>
      <c r="L131" s="11"/>
      <c r="M131" s="11"/>
      <c r="N131" s="15"/>
      <c r="O131" s="11"/>
      <c r="P131" s="7" t="str">
        <f aca="false">IF(B131="","",IF(AND(L131="Approved",M131&lt;&gt;"",N131&lt;&gt;""),"Ready","Not yet"))</f>
        <v/>
      </c>
    </row>
    <row r="132" customFormat="false" ht="15" hidden="false" customHeight="true" outlineLevel="0" collapsed="false">
      <c r="A132" s="11"/>
      <c r="B132" s="11"/>
      <c r="C132" s="11"/>
      <c r="D132" s="11"/>
      <c r="E132" s="11"/>
      <c r="F132" s="11"/>
      <c r="G132" s="11"/>
      <c r="H132" s="11"/>
      <c r="I132" s="11"/>
      <c r="J132" s="11"/>
      <c r="K132" s="11"/>
      <c r="L132" s="11"/>
      <c r="M132" s="11"/>
      <c r="N132" s="15"/>
      <c r="O132" s="11"/>
      <c r="P132" s="7" t="str">
        <f aca="false">IF(B132="","",IF(AND(L132="Approved",M132&lt;&gt;"",N132&lt;&gt;""),"Ready","Not yet"))</f>
        <v/>
      </c>
    </row>
    <row r="133" customFormat="false" ht="15" hidden="false" customHeight="true" outlineLevel="0" collapsed="false">
      <c r="A133" s="11"/>
      <c r="B133" s="11"/>
      <c r="C133" s="11"/>
      <c r="D133" s="11"/>
      <c r="E133" s="11"/>
      <c r="F133" s="11"/>
      <c r="G133" s="11"/>
      <c r="H133" s="11"/>
      <c r="I133" s="11"/>
      <c r="J133" s="11"/>
      <c r="K133" s="11"/>
      <c r="L133" s="11"/>
      <c r="M133" s="11"/>
      <c r="N133" s="15"/>
      <c r="O133" s="11"/>
      <c r="P133" s="7" t="str">
        <f aca="false">IF(B133="","",IF(AND(L133="Approved",M133&lt;&gt;"",N133&lt;&gt;""),"Ready","Not yet"))</f>
        <v/>
      </c>
    </row>
    <row r="134" customFormat="false" ht="15" hidden="false" customHeight="true" outlineLevel="0" collapsed="false">
      <c r="A134" s="11"/>
      <c r="B134" s="11"/>
      <c r="C134" s="11"/>
      <c r="D134" s="11"/>
      <c r="E134" s="11"/>
      <c r="F134" s="11"/>
      <c r="G134" s="11"/>
      <c r="H134" s="11"/>
      <c r="I134" s="11"/>
      <c r="J134" s="11"/>
      <c r="K134" s="11"/>
      <c r="L134" s="11"/>
      <c r="M134" s="11"/>
      <c r="N134" s="15"/>
      <c r="O134" s="11"/>
      <c r="P134" s="7" t="str">
        <f aca="false">IF(B134="","",IF(AND(L134="Approved",M134&lt;&gt;"",N134&lt;&gt;""),"Ready","Not yet"))</f>
        <v/>
      </c>
    </row>
    <row r="135" customFormat="false" ht="15" hidden="false" customHeight="true" outlineLevel="0" collapsed="false">
      <c r="A135" s="11"/>
      <c r="B135" s="11"/>
      <c r="C135" s="11"/>
      <c r="D135" s="11"/>
      <c r="E135" s="11"/>
      <c r="F135" s="11"/>
      <c r="G135" s="11"/>
      <c r="H135" s="11"/>
      <c r="I135" s="11"/>
      <c r="J135" s="11"/>
      <c r="K135" s="11"/>
      <c r="L135" s="11"/>
      <c r="M135" s="11"/>
      <c r="N135" s="15"/>
      <c r="O135" s="11"/>
      <c r="P135" s="7" t="str">
        <f aca="false">IF(B135="","",IF(AND(L135="Approved",M135&lt;&gt;"",N135&lt;&gt;""),"Ready","Not yet"))</f>
        <v/>
      </c>
    </row>
    <row r="136" customFormat="false" ht="15" hidden="false" customHeight="true" outlineLevel="0" collapsed="false">
      <c r="A136" s="11"/>
      <c r="B136" s="11"/>
      <c r="C136" s="11"/>
      <c r="D136" s="11"/>
      <c r="E136" s="11"/>
      <c r="F136" s="11"/>
      <c r="G136" s="11"/>
      <c r="H136" s="11"/>
      <c r="I136" s="11"/>
      <c r="J136" s="11"/>
      <c r="K136" s="11"/>
      <c r="L136" s="11"/>
      <c r="M136" s="11"/>
      <c r="N136" s="15"/>
      <c r="O136" s="11"/>
      <c r="P136" s="7" t="str">
        <f aca="false">IF(B136="","",IF(AND(L136="Approved",M136&lt;&gt;"",N136&lt;&gt;""),"Ready","Not yet"))</f>
        <v/>
      </c>
    </row>
    <row r="137" customFormat="false" ht="15" hidden="false" customHeight="true" outlineLevel="0" collapsed="false">
      <c r="A137" s="11"/>
      <c r="B137" s="11"/>
      <c r="C137" s="11"/>
      <c r="D137" s="11"/>
      <c r="E137" s="11"/>
      <c r="F137" s="11"/>
      <c r="G137" s="11"/>
      <c r="H137" s="11"/>
      <c r="I137" s="11"/>
      <c r="J137" s="11"/>
      <c r="K137" s="11"/>
      <c r="L137" s="11"/>
      <c r="M137" s="11"/>
      <c r="N137" s="15"/>
      <c r="O137" s="11"/>
      <c r="P137" s="7" t="str">
        <f aca="false">IF(B137="","",IF(AND(L137="Approved",M137&lt;&gt;"",N137&lt;&gt;""),"Ready","Not yet"))</f>
        <v/>
      </c>
    </row>
    <row r="138" customFormat="false" ht="15" hidden="false" customHeight="true" outlineLevel="0" collapsed="false">
      <c r="A138" s="11"/>
      <c r="B138" s="11"/>
      <c r="C138" s="11"/>
      <c r="D138" s="11"/>
      <c r="E138" s="11"/>
      <c r="F138" s="11"/>
      <c r="G138" s="11"/>
      <c r="H138" s="11"/>
      <c r="I138" s="11"/>
      <c r="J138" s="11"/>
      <c r="K138" s="11"/>
      <c r="L138" s="11"/>
      <c r="M138" s="11"/>
      <c r="N138" s="15"/>
      <c r="O138" s="11"/>
      <c r="P138" s="7" t="str">
        <f aca="false">IF(B138="","",IF(AND(L138="Approved",M138&lt;&gt;"",N138&lt;&gt;""),"Ready","Not yet"))</f>
        <v/>
      </c>
    </row>
    <row r="139" customFormat="false" ht="15" hidden="false" customHeight="true" outlineLevel="0" collapsed="false">
      <c r="A139" s="11"/>
      <c r="B139" s="11"/>
      <c r="C139" s="11"/>
      <c r="D139" s="11"/>
      <c r="E139" s="11"/>
      <c r="F139" s="11"/>
      <c r="G139" s="11"/>
      <c r="H139" s="11"/>
      <c r="I139" s="11"/>
      <c r="J139" s="11"/>
      <c r="K139" s="11"/>
      <c r="L139" s="11"/>
      <c r="M139" s="11"/>
      <c r="N139" s="15"/>
      <c r="O139" s="11"/>
      <c r="P139" s="7" t="str">
        <f aca="false">IF(B139="","",IF(AND(L139="Approved",M139&lt;&gt;"",N139&lt;&gt;""),"Ready","Not yet"))</f>
        <v/>
      </c>
    </row>
    <row r="140" customFormat="false" ht="15" hidden="false" customHeight="true" outlineLevel="0" collapsed="false">
      <c r="A140" s="11"/>
      <c r="B140" s="11"/>
      <c r="C140" s="11"/>
      <c r="D140" s="11"/>
      <c r="E140" s="11"/>
      <c r="F140" s="11"/>
      <c r="G140" s="11"/>
      <c r="H140" s="11"/>
      <c r="I140" s="11"/>
      <c r="J140" s="11"/>
      <c r="K140" s="11"/>
      <c r="L140" s="11"/>
      <c r="M140" s="11"/>
      <c r="N140" s="15"/>
      <c r="O140" s="11"/>
      <c r="P140" s="7" t="str">
        <f aca="false">IF(B140="","",IF(AND(L140="Approved",M140&lt;&gt;"",N140&lt;&gt;""),"Ready","Not yet"))</f>
        <v/>
      </c>
    </row>
    <row r="141" customFormat="false" ht="15" hidden="false" customHeight="true" outlineLevel="0" collapsed="false">
      <c r="A141" s="11"/>
      <c r="B141" s="11"/>
      <c r="C141" s="11"/>
      <c r="D141" s="11"/>
      <c r="E141" s="11"/>
      <c r="F141" s="11"/>
      <c r="G141" s="11"/>
      <c r="H141" s="11"/>
      <c r="I141" s="11"/>
      <c r="J141" s="11"/>
      <c r="K141" s="11"/>
      <c r="L141" s="11"/>
      <c r="M141" s="11"/>
      <c r="N141" s="15"/>
      <c r="O141" s="11"/>
      <c r="P141" s="7" t="str">
        <f aca="false">IF(B141="","",IF(AND(L141="Approved",M141&lt;&gt;"",N141&lt;&gt;""),"Ready","Not yet"))</f>
        <v/>
      </c>
    </row>
    <row r="142" customFormat="false" ht="15" hidden="false" customHeight="true" outlineLevel="0" collapsed="false">
      <c r="A142" s="11"/>
      <c r="B142" s="11"/>
      <c r="C142" s="11"/>
      <c r="D142" s="11"/>
      <c r="E142" s="11"/>
      <c r="F142" s="11"/>
      <c r="G142" s="11"/>
      <c r="H142" s="11"/>
      <c r="I142" s="11"/>
      <c r="J142" s="11"/>
      <c r="K142" s="11"/>
      <c r="L142" s="11"/>
      <c r="M142" s="11"/>
      <c r="N142" s="15"/>
      <c r="O142" s="11"/>
      <c r="P142" s="7" t="str">
        <f aca="false">IF(B142="","",IF(AND(L142="Approved",M142&lt;&gt;"",N142&lt;&gt;""),"Ready","Not yet"))</f>
        <v/>
      </c>
    </row>
    <row r="143" customFormat="false" ht="15" hidden="false" customHeight="true" outlineLevel="0" collapsed="false">
      <c r="A143" s="11"/>
      <c r="B143" s="11"/>
      <c r="C143" s="11"/>
      <c r="D143" s="11"/>
      <c r="E143" s="11"/>
      <c r="F143" s="11"/>
      <c r="G143" s="11"/>
      <c r="H143" s="11"/>
      <c r="I143" s="11"/>
      <c r="J143" s="11"/>
      <c r="K143" s="11"/>
      <c r="L143" s="11"/>
      <c r="M143" s="11"/>
      <c r="N143" s="15"/>
      <c r="O143" s="11"/>
      <c r="P143" s="7" t="str">
        <f aca="false">IF(B143="","",IF(AND(L143="Approved",M143&lt;&gt;"",N143&lt;&gt;""),"Ready","Not yet"))</f>
        <v/>
      </c>
    </row>
    <row r="144" customFormat="false" ht="15" hidden="false" customHeight="true" outlineLevel="0" collapsed="false">
      <c r="A144" s="11"/>
      <c r="B144" s="11"/>
      <c r="C144" s="11"/>
      <c r="D144" s="11"/>
      <c r="E144" s="11"/>
      <c r="F144" s="11"/>
      <c r="G144" s="11"/>
      <c r="H144" s="11"/>
      <c r="I144" s="11"/>
      <c r="J144" s="11"/>
      <c r="K144" s="11"/>
      <c r="L144" s="11"/>
      <c r="M144" s="11"/>
      <c r="N144" s="15"/>
      <c r="O144" s="11"/>
      <c r="P144" s="7" t="str">
        <f aca="false">IF(B144="","",IF(AND(L144="Approved",M144&lt;&gt;"",N144&lt;&gt;""),"Ready","Not yet"))</f>
        <v/>
      </c>
    </row>
    <row r="145" customFormat="false" ht="15" hidden="false" customHeight="true" outlineLevel="0" collapsed="false">
      <c r="A145" s="11"/>
      <c r="B145" s="11"/>
      <c r="C145" s="11"/>
      <c r="D145" s="11"/>
      <c r="E145" s="11"/>
      <c r="F145" s="11"/>
      <c r="G145" s="11"/>
      <c r="H145" s="11"/>
      <c r="I145" s="11"/>
      <c r="J145" s="11"/>
      <c r="K145" s="11"/>
      <c r="L145" s="11"/>
      <c r="M145" s="11"/>
      <c r="N145" s="15"/>
      <c r="O145" s="11"/>
      <c r="P145" s="7" t="str">
        <f aca="false">IF(B145="","",IF(AND(L145="Approved",M145&lt;&gt;"",N145&lt;&gt;""),"Ready","Not yet"))</f>
        <v/>
      </c>
    </row>
    <row r="146" customFormat="false" ht="15" hidden="false" customHeight="true" outlineLevel="0" collapsed="false">
      <c r="A146" s="11"/>
      <c r="B146" s="11"/>
      <c r="C146" s="11"/>
      <c r="D146" s="11"/>
      <c r="E146" s="11"/>
      <c r="F146" s="11"/>
      <c r="G146" s="11"/>
      <c r="H146" s="11"/>
      <c r="I146" s="11"/>
      <c r="J146" s="11"/>
      <c r="K146" s="11"/>
      <c r="L146" s="11"/>
      <c r="M146" s="11"/>
      <c r="N146" s="15"/>
      <c r="O146" s="11"/>
      <c r="P146" s="7" t="str">
        <f aca="false">IF(B146="","",IF(AND(L146="Approved",M146&lt;&gt;"",N146&lt;&gt;""),"Ready","Not yet"))</f>
        <v/>
      </c>
    </row>
    <row r="147" customFormat="false" ht="15" hidden="false" customHeight="true" outlineLevel="0" collapsed="false">
      <c r="A147" s="11"/>
      <c r="B147" s="11"/>
      <c r="C147" s="11"/>
      <c r="D147" s="11"/>
      <c r="E147" s="11"/>
      <c r="F147" s="11"/>
      <c r="G147" s="11"/>
      <c r="H147" s="11"/>
      <c r="I147" s="11"/>
      <c r="J147" s="11"/>
      <c r="K147" s="11"/>
      <c r="L147" s="11"/>
      <c r="M147" s="11"/>
      <c r="N147" s="15"/>
      <c r="O147" s="11"/>
      <c r="P147" s="7" t="str">
        <f aca="false">IF(B147="","",IF(AND(L147="Approved",M147&lt;&gt;"",N147&lt;&gt;""),"Ready","Not yet"))</f>
        <v/>
      </c>
    </row>
    <row r="148" customFormat="false" ht="15" hidden="false" customHeight="true" outlineLevel="0" collapsed="false">
      <c r="A148" s="11"/>
      <c r="B148" s="11"/>
      <c r="C148" s="11"/>
      <c r="D148" s="11"/>
      <c r="E148" s="11"/>
      <c r="F148" s="11"/>
      <c r="G148" s="11"/>
      <c r="H148" s="11"/>
      <c r="I148" s="11"/>
      <c r="J148" s="11"/>
      <c r="K148" s="11"/>
      <c r="L148" s="11"/>
      <c r="M148" s="11"/>
      <c r="N148" s="15"/>
      <c r="O148" s="11"/>
      <c r="P148" s="7" t="str">
        <f aca="false">IF(B148="","",IF(AND(L148="Approved",M148&lt;&gt;"",N148&lt;&gt;""),"Ready","Not yet"))</f>
        <v/>
      </c>
    </row>
    <row r="149" customFormat="false" ht="15" hidden="false" customHeight="true" outlineLevel="0" collapsed="false">
      <c r="A149" s="11"/>
      <c r="B149" s="11"/>
      <c r="C149" s="11"/>
      <c r="D149" s="11"/>
      <c r="E149" s="11"/>
      <c r="F149" s="11"/>
      <c r="G149" s="11"/>
      <c r="H149" s="11"/>
      <c r="I149" s="11"/>
      <c r="J149" s="11"/>
      <c r="K149" s="11"/>
      <c r="L149" s="11"/>
      <c r="M149" s="11"/>
      <c r="N149" s="15"/>
      <c r="O149" s="11"/>
      <c r="P149" s="7" t="str">
        <f aca="false">IF(B149="","",IF(AND(L149="Approved",M149&lt;&gt;"",N149&lt;&gt;""),"Ready","Not yet"))</f>
        <v/>
      </c>
    </row>
    <row r="150" customFormat="false" ht="15" hidden="false" customHeight="true" outlineLevel="0" collapsed="false">
      <c r="A150" s="11"/>
      <c r="B150" s="11"/>
      <c r="C150" s="11"/>
      <c r="D150" s="11"/>
      <c r="E150" s="11"/>
      <c r="F150" s="11"/>
      <c r="G150" s="11"/>
      <c r="H150" s="11"/>
      <c r="I150" s="11"/>
      <c r="J150" s="11"/>
      <c r="K150" s="11"/>
      <c r="L150" s="11"/>
      <c r="M150" s="11"/>
      <c r="N150" s="15"/>
      <c r="O150" s="11"/>
      <c r="P150" s="7" t="str">
        <f aca="false">IF(B150="","",IF(AND(L150="Approved",M150&lt;&gt;"",N150&lt;&gt;""),"Ready","Not yet"))</f>
        <v/>
      </c>
    </row>
    <row r="151" customFormat="false" ht="15" hidden="false" customHeight="true" outlineLevel="0" collapsed="false">
      <c r="A151" s="11"/>
      <c r="B151" s="11"/>
      <c r="C151" s="11"/>
      <c r="D151" s="11"/>
      <c r="E151" s="11"/>
      <c r="F151" s="11"/>
      <c r="G151" s="11"/>
      <c r="H151" s="11"/>
      <c r="I151" s="11"/>
      <c r="J151" s="11"/>
      <c r="K151" s="11"/>
      <c r="L151" s="11"/>
      <c r="M151" s="11"/>
      <c r="N151" s="15"/>
      <c r="O151" s="11"/>
      <c r="P151" s="7" t="str">
        <f aca="false">IF(B151="","",IF(AND(L151="Approved",M151&lt;&gt;"",N151&lt;&gt;""),"Ready","Not yet"))</f>
        <v/>
      </c>
    </row>
    <row r="152" customFormat="false" ht="15" hidden="false" customHeight="true" outlineLevel="0" collapsed="false">
      <c r="A152" s="11"/>
      <c r="B152" s="11"/>
      <c r="C152" s="11"/>
      <c r="D152" s="11"/>
      <c r="E152" s="11"/>
      <c r="F152" s="11"/>
      <c r="G152" s="11"/>
      <c r="H152" s="11"/>
      <c r="I152" s="11"/>
      <c r="J152" s="11"/>
      <c r="K152" s="11"/>
      <c r="L152" s="11"/>
      <c r="M152" s="11"/>
      <c r="N152" s="15"/>
      <c r="O152" s="11"/>
      <c r="P152" s="7" t="str">
        <f aca="false">IF(B152="","",IF(AND(L152="Approved",M152&lt;&gt;"",N152&lt;&gt;""),"Ready","Not yet"))</f>
        <v/>
      </c>
    </row>
    <row r="153" customFormat="false" ht="15" hidden="false" customHeight="true" outlineLevel="0" collapsed="false">
      <c r="A153" s="11"/>
      <c r="B153" s="11"/>
      <c r="C153" s="11"/>
      <c r="D153" s="11"/>
      <c r="E153" s="11"/>
      <c r="F153" s="11"/>
      <c r="G153" s="11"/>
      <c r="H153" s="11"/>
      <c r="I153" s="11"/>
      <c r="J153" s="11"/>
      <c r="K153" s="11"/>
      <c r="L153" s="11"/>
      <c r="M153" s="11"/>
      <c r="N153" s="15"/>
      <c r="O153" s="11"/>
      <c r="P153" s="7" t="str">
        <f aca="false">IF(B153="","",IF(AND(L153="Approved",M153&lt;&gt;"",N153&lt;&gt;""),"Ready","Not yet"))</f>
        <v/>
      </c>
    </row>
    <row r="154" customFormat="false" ht="15" hidden="false" customHeight="true" outlineLevel="0" collapsed="false">
      <c r="A154" s="11"/>
      <c r="B154" s="11"/>
      <c r="C154" s="11"/>
      <c r="D154" s="11"/>
      <c r="E154" s="11"/>
      <c r="F154" s="11"/>
      <c r="G154" s="11"/>
      <c r="H154" s="11"/>
      <c r="I154" s="11"/>
      <c r="J154" s="11"/>
      <c r="K154" s="11"/>
      <c r="L154" s="11"/>
      <c r="M154" s="11"/>
      <c r="N154" s="15"/>
      <c r="O154" s="11"/>
      <c r="P154" s="7" t="str">
        <f aca="false">IF(B154="","",IF(AND(L154="Approved",M154&lt;&gt;"",N154&lt;&gt;""),"Ready","Not yet"))</f>
        <v/>
      </c>
    </row>
    <row r="155" customFormat="false" ht="15" hidden="false" customHeight="true" outlineLevel="0" collapsed="false">
      <c r="A155" s="11"/>
      <c r="B155" s="11"/>
      <c r="C155" s="11"/>
      <c r="D155" s="11"/>
      <c r="E155" s="11"/>
      <c r="F155" s="11"/>
      <c r="G155" s="11"/>
      <c r="H155" s="11"/>
      <c r="I155" s="11"/>
      <c r="J155" s="11"/>
      <c r="K155" s="11"/>
      <c r="L155" s="11"/>
      <c r="M155" s="11"/>
      <c r="N155" s="15"/>
      <c r="O155" s="11"/>
      <c r="P155" s="7" t="str">
        <f aca="false">IF(B155="","",IF(AND(L155="Approved",M155&lt;&gt;"",N155&lt;&gt;""),"Ready","Not yet"))</f>
        <v/>
      </c>
    </row>
    <row r="156" customFormat="false" ht="15" hidden="false" customHeight="true" outlineLevel="0" collapsed="false">
      <c r="A156" s="11"/>
      <c r="B156" s="11"/>
      <c r="C156" s="11"/>
      <c r="D156" s="11"/>
      <c r="E156" s="11"/>
      <c r="F156" s="11"/>
      <c r="G156" s="11"/>
      <c r="H156" s="11"/>
      <c r="I156" s="11"/>
      <c r="J156" s="11"/>
      <c r="K156" s="11"/>
      <c r="L156" s="11"/>
      <c r="M156" s="11"/>
      <c r="N156" s="15"/>
      <c r="O156" s="11"/>
      <c r="P156" s="7" t="str">
        <f aca="false">IF(B156="","",IF(AND(L156="Approved",M156&lt;&gt;"",N156&lt;&gt;""),"Ready","Not yet"))</f>
        <v/>
      </c>
    </row>
    <row r="157" customFormat="false" ht="15" hidden="false" customHeight="true" outlineLevel="0" collapsed="false">
      <c r="A157" s="11"/>
      <c r="B157" s="11"/>
      <c r="C157" s="11"/>
      <c r="D157" s="11"/>
      <c r="E157" s="11"/>
      <c r="F157" s="11"/>
      <c r="G157" s="11"/>
      <c r="H157" s="11"/>
      <c r="I157" s="11"/>
      <c r="J157" s="11"/>
      <c r="K157" s="11"/>
      <c r="L157" s="11"/>
      <c r="M157" s="11"/>
      <c r="N157" s="15"/>
      <c r="O157" s="11"/>
      <c r="P157" s="7" t="str">
        <f aca="false">IF(B157="","",IF(AND(L157="Approved",M157&lt;&gt;"",N157&lt;&gt;""),"Ready","Not yet"))</f>
        <v/>
      </c>
    </row>
    <row r="158" customFormat="false" ht="15" hidden="false" customHeight="true" outlineLevel="0" collapsed="false">
      <c r="A158" s="11"/>
      <c r="B158" s="11"/>
      <c r="C158" s="11"/>
      <c r="D158" s="11"/>
      <c r="E158" s="11"/>
      <c r="F158" s="11"/>
      <c r="G158" s="11"/>
      <c r="H158" s="11"/>
      <c r="I158" s="11"/>
      <c r="J158" s="11"/>
      <c r="K158" s="11"/>
      <c r="L158" s="11"/>
      <c r="M158" s="11"/>
      <c r="N158" s="15"/>
      <c r="O158" s="11"/>
      <c r="P158" s="7" t="str">
        <f aca="false">IF(B158="","",IF(AND(L158="Approved",M158&lt;&gt;"",N158&lt;&gt;""),"Ready","Not yet"))</f>
        <v/>
      </c>
    </row>
    <row r="159" customFormat="false" ht="15" hidden="false" customHeight="true" outlineLevel="0" collapsed="false">
      <c r="A159" s="11"/>
      <c r="B159" s="11"/>
      <c r="C159" s="11"/>
      <c r="D159" s="11"/>
      <c r="E159" s="11"/>
      <c r="F159" s="11"/>
      <c r="G159" s="11"/>
      <c r="H159" s="11"/>
      <c r="I159" s="11"/>
      <c r="J159" s="11"/>
      <c r="K159" s="11"/>
      <c r="L159" s="11"/>
      <c r="M159" s="11"/>
      <c r="N159" s="15"/>
      <c r="O159" s="11"/>
      <c r="P159" s="7" t="str">
        <f aca="false">IF(B159="","",IF(AND(L159="Approved",M159&lt;&gt;"",N159&lt;&gt;""),"Ready","Not yet"))</f>
        <v/>
      </c>
    </row>
    <row r="160" customFormat="false" ht="15" hidden="false" customHeight="true" outlineLevel="0" collapsed="false">
      <c r="A160" s="11"/>
      <c r="B160" s="11"/>
      <c r="C160" s="11"/>
      <c r="D160" s="11"/>
      <c r="E160" s="11"/>
      <c r="F160" s="11"/>
      <c r="G160" s="11"/>
      <c r="H160" s="11"/>
      <c r="I160" s="11"/>
      <c r="J160" s="11"/>
      <c r="K160" s="11"/>
      <c r="L160" s="11"/>
      <c r="M160" s="11"/>
      <c r="N160" s="15"/>
      <c r="O160" s="11"/>
      <c r="P160" s="7" t="str">
        <f aca="false">IF(B160="","",IF(AND(L160="Approved",M160&lt;&gt;"",N160&lt;&gt;""),"Ready","Not yet"))</f>
        <v/>
      </c>
    </row>
    <row r="161" customFormat="false" ht="15" hidden="false" customHeight="true" outlineLevel="0" collapsed="false">
      <c r="A161" s="11"/>
      <c r="B161" s="11"/>
      <c r="C161" s="11"/>
      <c r="D161" s="11"/>
      <c r="E161" s="11"/>
      <c r="F161" s="11"/>
      <c r="G161" s="11"/>
      <c r="H161" s="11"/>
      <c r="I161" s="11"/>
      <c r="J161" s="11"/>
      <c r="K161" s="11"/>
      <c r="L161" s="11"/>
      <c r="M161" s="11"/>
      <c r="N161" s="15"/>
      <c r="O161" s="11"/>
      <c r="P161" s="7" t="str">
        <f aca="false">IF(B161="","",IF(AND(L161="Approved",M161&lt;&gt;"",N161&lt;&gt;""),"Ready","Not yet"))</f>
        <v/>
      </c>
    </row>
    <row r="162" customFormat="false" ht="15" hidden="false" customHeight="true" outlineLevel="0" collapsed="false">
      <c r="A162" s="11"/>
      <c r="B162" s="11"/>
      <c r="C162" s="11"/>
      <c r="D162" s="11"/>
      <c r="E162" s="11"/>
      <c r="F162" s="11"/>
      <c r="G162" s="11"/>
      <c r="H162" s="11"/>
      <c r="I162" s="11"/>
      <c r="J162" s="11"/>
      <c r="K162" s="11"/>
      <c r="L162" s="11"/>
      <c r="M162" s="11"/>
      <c r="N162" s="15"/>
      <c r="O162" s="11"/>
      <c r="P162" s="7" t="str">
        <f aca="false">IF(B162="","",IF(AND(L162="Approved",M162&lt;&gt;"",N162&lt;&gt;""),"Ready","Not yet"))</f>
        <v/>
      </c>
    </row>
    <row r="163" customFormat="false" ht="15" hidden="false" customHeight="true" outlineLevel="0" collapsed="false">
      <c r="A163" s="11"/>
      <c r="B163" s="11"/>
      <c r="C163" s="11"/>
      <c r="D163" s="11"/>
      <c r="E163" s="11"/>
      <c r="F163" s="11"/>
      <c r="G163" s="11"/>
      <c r="H163" s="11"/>
      <c r="I163" s="11"/>
      <c r="J163" s="11"/>
      <c r="K163" s="11"/>
      <c r="L163" s="11"/>
      <c r="M163" s="11"/>
      <c r="N163" s="15"/>
      <c r="O163" s="11"/>
      <c r="P163" s="7" t="str">
        <f aca="false">IF(B163="","",IF(AND(L163="Approved",M163&lt;&gt;"",N163&lt;&gt;""),"Ready","Not yet"))</f>
        <v/>
      </c>
    </row>
    <row r="164" customFormat="false" ht="15" hidden="false" customHeight="true" outlineLevel="0" collapsed="false">
      <c r="A164" s="11"/>
      <c r="B164" s="11"/>
      <c r="C164" s="11"/>
      <c r="D164" s="11"/>
      <c r="E164" s="11"/>
      <c r="F164" s="11"/>
      <c r="G164" s="11"/>
      <c r="H164" s="11"/>
      <c r="I164" s="11"/>
      <c r="J164" s="11"/>
      <c r="K164" s="11"/>
      <c r="L164" s="11"/>
      <c r="M164" s="11"/>
      <c r="N164" s="15"/>
      <c r="O164" s="11"/>
      <c r="P164" s="7" t="str">
        <f aca="false">IF(B164="","",IF(AND(L164="Approved",M164&lt;&gt;"",N164&lt;&gt;""),"Ready","Not yet"))</f>
        <v/>
      </c>
    </row>
    <row r="165" customFormat="false" ht="15" hidden="false" customHeight="true" outlineLevel="0" collapsed="false">
      <c r="A165" s="11"/>
      <c r="B165" s="11"/>
      <c r="C165" s="11"/>
      <c r="D165" s="11"/>
      <c r="E165" s="11"/>
      <c r="F165" s="11"/>
      <c r="G165" s="11"/>
      <c r="H165" s="11"/>
      <c r="I165" s="11"/>
      <c r="J165" s="11"/>
      <c r="K165" s="11"/>
      <c r="L165" s="11"/>
      <c r="M165" s="11"/>
      <c r="N165" s="15"/>
      <c r="O165" s="11"/>
      <c r="P165" s="7" t="str">
        <f aca="false">IF(B165="","",IF(AND(L165="Approved",M165&lt;&gt;"",N165&lt;&gt;""),"Ready","Not yet"))</f>
        <v/>
      </c>
    </row>
    <row r="166" customFormat="false" ht="15" hidden="false" customHeight="true" outlineLevel="0" collapsed="false">
      <c r="A166" s="11"/>
      <c r="B166" s="11"/>
      <c r="C166" s="11"/>
      <c r="D166" s="11"/>
      <c r="E166" s="11"/>
      <c r="F166" s="11"/>
      <c r="G166" s="11"/>
      <c r="H166" s="11"/>
      <c r="I166" s="11"/>
      <c r="J166" s="11"/>
      <c r="K166" s="11"/>
      <c r="L166" s="11"/>
      <c r="M166" s="11"/>
      <c r="N166" s="15"/>
      <c r="O166" s="11"/>
      <c r="P166" s="7" t="str">
        <f aca="false">IF(B166="","",IF(AND(L166="Approved",M166&lt;&gt;"",N166&lt;&gt;""),"Ready","Not yet"))</f>
        <v/>
      </c>
    </row>
    <row r="167" customFormat="false" ht="15" hidden="false" customHeight="true" outlineLevel="0" collapsed="false">
      <c r="A167" s="11"/>
      <c r="B167" s="11"/>
      <c r="C167" s="11"/>
      <c r="D167" s="11"/>
      <c r="E167" s="11"/>
      <c r="F167" s="11"/>
      <c r="G167" s="11"/>
      <c r="H167" s="11"/>
      <c r="I167" s="11"/>
      <c r="J167" s="11"/>
      <c r="K167" s="11"/>
      <c r="L167" s="11"/>
      <c r="M167" s="11"/>
      <c r="N167" s="15"/>
      <c r="O167" s="11"/>
      <c r="P167" s="7" t="str">
        <f aca="false">IF(B167="","",IF(AND(L167="Approved",M167&lt;&gt;"",N167&lt;&gt;""),"Ready","Not yet"))</f>
        <v/>
      </c>
    </row>
    <row r="168" customFormat="false" ht="15" hidden="false" customHeight="true" outlineLevel="0" collapsed="false">
      <c r="A168" s="11"/>
      <c r="B168" s="11"/>
      <c r="C168" s="11"/>
      <c r="D168" s="11"/>
      <c r="E168" s="11"/>
      <c r="F168" s="11"/>
      <c r="G168" s="11"/>
      <c r="H168" s="11"/>
      <c r="I168" s="11"/>
      <c r="J168" s="11"/>
      <c r="K168" s="11"/>
      <c r="L168" s="11"/>
      <c r="M168" s="11"/>
      <c r="N168" s="15"/>
      <c r="O168" s="11"/>
      <c r="P168" s="7" t="str">
        <f aca="false">IF(B168="","",IF(AND(L168="Approved",M168&lt;&gt;"",N168&lt;&gt;""),"Ready","Not yet"))</f>
        <v/>
      </c>
    </row>
    <row r="169" customFormat="false" ht="15" hidden="false" customHeight="true" outlineLevel="0" collapsed="false">
      <c r="A169" s="11"/>
      <c r="B169" s="11"/>
      <c r="C169" s="11"/>
      <c r="D169" s="11"/>
      <c r="E169" s="11"/>
      <c r="F169" s="11"/>
      <c r="G169" s="11"/>
      <c r="H169" s="11"/>
      <c r="I169" s="11"/>
      <c r="J169" s="11"/>
      <c r="K169" s="11"/>
      <c r="L169" s="11"/>
      <c r="M169" s="11"/>
      <c r="N169" s="15"/>
      <c r="O169" s="11"/>
      <c r="P169" s="7" t="str">
        <f aca="false">IF(B169="","",IF(AND(L169="Approved",M169&lt;&gt;"",N169&lt;&gt;""),"Ready","Not yet"))</f>
        <v/>
      </c>
    </row>
    <row r="170" customFormat="false" ht="15" hidden="false" customHeight="true" outlineLevel="0" collapsed="false">
      <c r="A170" s="11"/>
      <c r="B170" s="11"/>
      <c r="C170" s="11"/>
      <c r="D170" s="11"/>
      <c r="E170" s="11"/>
      <c r="F170" s="11"/>
      <c r="G170" s="11"/>
      <c r="H170" s="11"/>
      <c r="I170" s="11"/>
      <c r="J170" s="11"/>
      <c r="K170" s="11"/>
      <c r="L170" s="11"/>
      <c r="M170" s="11"/>
      <c r="N170" s="15"/>
      <c r="O170" s="11"/>
      <c r="P170" s="7" t="str">
        <f aca="false">IF(B170="","",IF(AND(L170="Approved",M170&lt;&gt;"",N170&lt;&gt;""),"Ready","Not yet"))</f>
        <v/>
      </c>
    </row>
    <row r="171" customFormat="false" ht="15" hidden="false" customHeight="true" outlineLevel="0" collapsed="false">
      <c r="A171" s="11"/>
      <c r="B171" s="11"/>
      <c r="C171" s="11"/>
      <c r="D171" s="11"/>
      <c r="E171" s="11"/>
      <c r="F171" s="11"/>
      <c r="G171" s="11"/>
      <c r="H171" s="11"/>
      <c r="I171" s="11"/>
      <c r="J171" s="11"/>
      <c r="K171" s="11"/>
      <c r="L171" s="11"/>
      <c r="M171" s="11"/>
      <c r="N171" s="15"/>
      <c r="O171" s="11"/>
      <c r="P171" s="7" t="str">
        <f aca="false">IF(B171="","",IF(AND(L171="Approved",M171&lt;&gt;"",N171&lt;&gt;""),"Ready","Not yet"))</f>
        <v/>
      </c>
    </row>
    <row r="172" customFormat="false" ht="15" hidden="false" customHeight="true" outlineLevel="0" collapsed="false">
      <c r="A172" s="11"/>
      <c r="B172" s="11"/>
      <c r="C172" s="11"/>
      <c r="D172" s="11"/>
      <c r="E172" s="11"/>
      <c r="F172" s="11"/>
      <c r="G172" s="11"/>
      <c r="H172" s="11"/>
      <c r="I172" s="11"/>
      <c r="J172" s="11"/>
      <c r="K172" s="11"/>
      <c r="L172" s="11"/>
      <c r="M172" s="11"/>
      <c r="N172" s="15"/>
      <c r="O172" s="11"/>
      <c r="P172" s="7" t="str">
        <f aca="false">IF(B172="","",IF(AND(L172="Approved",M172&lt;&gt;"",N172&lt;&gt;""),"Ready","Not yet"))</f>
        <v/>
      </c>
    </row>
    <row r="173" customFormat="false" ht="15" hidden="false" customHeight="true" outlineLevel="0" collapsed="false">
      <c r="A173" s="11"/>
      <c r="B173" s="11"/>
      <c r="C173" s="11"/>
      <c r="D173" s="11"/>
      <c r="E173" s="11"/>
      <c r="F173" s="11"/>
      <c r="G173" s="11"/>
      <c r="H173" s="11"/>
      <c r="I173" s="11"/>
      <c r="J173" s="11"/>
      <c r="K173" s="11"/>
      <c r="L173" s="11"/>
      <c r="M173" s="11"/>
      <c r="N173" s="15"/>
      <c r="O173" s="11"/>
      <c r="P173" s="7" t="str">
        <f aca="false">IF(B173="","",IF(AND(L173="Approved",M173&lt;&gt;"",N173&lt;&gt;""),"Ready","Not yet"))</f>
        <v/>
      </c>
    </row>
    <row r="174" customFormat="false" ht="15" hidden="false" customHeight="true" outlineLevel="0" collapsed="false">
      <c r="A174" s="11"/>
      <c r="B174" s="11"/>
      <c r="C174" s="11"/>
      <c r="D174" s="11"/>
      <c r="E174" s="11"/>
      <c r="F174" s="11"/>
      <c r="G174" s="11"/>
      <c r="H174" s="11"/>
      <c r="I174" s="11"/>
      <c r="J174" s="11"/>
      <c r="K174" s="11"/>
      <c r="L174" s="11"/>
      <c r="M174" s="11"/>
      <c r="N174" s="15"/>
      <c r="O174" s="11"/>
      <c r="P174" s="7" t="str">
        <f aca="false">IF(B174="","",IF(AND(L174="Approved",M174&lt;&gt;"",N174&lt;&gt;""),"Ready","Not yet"))</f>
        <v/>
      </c>
    </row>
    <row r="175" customFormat="false" ht="15" hidden="false" customHeight="true" outlineLevel="0" collapsed="false">
      <c r="A175" s="11"/>
      <c r="B175" s="11"/>
      <c r="C175" s="11"/>
      <c r="D175" s="11"/>
      <c r="E175" s="11"/>
      <c r="F175" s="11"/>
      <c r="G175" s="11"/>
      <c r="H175" s="11"/>
      <c r="I175" s="11"/>
      <c r="J175" s="11"/>
      <c r="K175" s="11"/>
      <c r="L175" s="11"/>
      <c r="M175" s="11"/>
      <c r="N175" s="15"/>
      <c r="O175" s="11"/>
      <c r="P175" s="7" t="str">
        <f aca="false">IF(B175="","",IF(AND(L175="Approved",M175&lt;&gt;"",N175&lt;&gt;""),"Ready","Not yet"))</f>
        <v/>
      </c>
    </row>
    <row r="176" customFormat="false" ht="15" hidden="false" customHeight="true" outlineLevel="0" collapsed="false">
      <c r="A176" s="11"/>
      <c r="B176" s="11"/>
      <c r="C176" s="11"/>
      <c r="D176" s="11"/>
      <c r="E176" s="11"/>
      <c r="F176" s="11"/>
      <c r="G176" s="11"/>
      <c r="H176" s="11"/>
      <c r="I176" s="11"/>
      <c r="J176" s="11"/>
      <c r="K176" s="11"/>
      <c r="L176" s="11"/>
      <c r="M176" s="11"/>
      <c r="N176" s="15"/>
      <c r="O176" s="11"/>
      <c r="P176" s="7" t="str">
        <f aca="false">IF(B176="","",IF(AND(L176="Approved",M176&lt;&gt;"",N176&lt;&gt;""),"Ready","Not yet"))</f>
        <v/>
      </c>
    </row>
    <row r="177" customFormat="false" ht="15" hidden="false" customHeight="true" outlineLevel="0" collapsed="false">
      <c r="A177" s="11"/>
      <c r="B177" s="11"/>
      <c r="C177" s="11"/>
      <c r="D177" s="11"/>
      <c r="E177" s="11"/>
      <c r="F177" s="11"/>
      <c r="G177" s="11"/>
      <c r="H177" s="11"/>
      <c r="I177" s="11"/>
      <c r="J177" s="11"/>
      <c r="K177" s="11"/>
      <c r="L177" s="11"/>
      <c r="M177" s="11"/>
      <c r="N177" s="15"/>
      <c r="O177" s="11"/>
      <c r="P177" s="7" t="str">
        <f aca="false">IF(B177="","",IF(AND(L177="Approved",M177&lt;&gt;"",N177&lt;&gt;""),"Ready","Not yet"))</f>
        <v/>
      </c>
    </row>
    <row r="178" customFormat="false" ht="15" hidden="false" customHeight="true" outlineLevel="0" collapsed="false">
      <c r="A178" s="11"/>
      <c r="B178" s="11"/>
      <c r="C178" s="11"/>
      <c r="D178" s="11"/>
      <c r="E178" s="11"/>
      <c r="F178" s="11"/>
      <c r="G178" s="11"/>
      <c r="H178" s="11"/>
      <c r="I178" s="11"/>
      <c r="J178" s="11"/>
      <c r="K178" s="11"/>
      <c r="L178" s="11"/>
      <c r="M178" s="11"/>
      <c r="N178" s="15"/>
      <c r="O178" s="11"/>
      <c r="P178" s="7" t="str">
        <f aca="false">IF(B178="","",IF(AND(L178="Approved",M178&lt;&gt;"",N178&lt;&gt;""),"Ready","Not yet"))</f>
        <v/>
      </c>
    </row>
    <row r="179" customFormat="false" ht="15" hidden="false" customHeight="true" outlineLevel="0" collapsed="false">
      <c r="A179" s="11"/>
      <c r="B179" s="11"/>
      <c r="C179" s="11"/>
      <c r="D179" s="11"/>
      <c r="E179" s="11"/>
      <c r="F179" s="11"/>
      <c r="G179" s="11"/>
      <c r="H179" s="11"/>
      <c r="I179" s="11"/>
      <c r="J179" s="11"/>
      <c r="K179" s="11"/>
      <c r="L179" s="11"/>
      <c r="M179" s="11"/>
      <c r="N179" s="15"/>
      <c r="O179" s="11"/>
      <c r="P179" s="7" t="str">
        <f aca="false">IF(B179="","",IF(AND(L179="Approved",M179&lt;&gt;"",N179&lt;&gt;""),"Ready","Not yet"))</f>
        <v/>
      </c>
    </row>
    <row r="180" customFormat="false" ht="15" hidden="false" customHeight="true" outlineLevel="0" collapsed="false">
      <c r="A180" s="11"/>
      <c r="B180" s="11"/>
      <c r="C180" s="11"/>
      <c r="D180" s="11"/>
      <c r="E180" s="11"/>
      <c r="F180" s="11"/>
      <c r="G180" s="11"/>
      <c r="H180" s="11"/>
      <c r="I180" s="11"/>
      <c r="J180" s="11"/>
      <c r="K180" s="11"/>
      <c r="L180" s="11"/>
      <c r="M180" s="11"/>
      <c r="N180" s="15"/>
      <c r="O180" s="11"/>
      <c r="P180" s="7" t="str">
        <f aca="false">IF(B180="","",IF(AND(L180="Approved",M180&lt;&gt;"",N180&lt;&gt;""),"Ready","Not yet"))</f>
        <v/>
      </c>
    </row>
    <row r="181" customFormat="false" ht="15" hidden="false" customHeight="true" outlineLevel="0" collapsed="false">
      <c r="A181" s="11"/>
      <c r="B181" s="11"/>
      <c r="C181" s="11"/>
      <c r="D181" s="11"/>
      <c r="E181" s="11"/>
      <c r="F181" s="11"/>
      <c r="G181" s="11"/>
      <c r="H181" s="11"/>
      <c r="I181" s="11"/>
      <c r="J181" s="11"/>
      <c r="K181" s="11"/>
      <c r="L181" s="11"/>
      <c r="M181" s="11"/>
      <c r="N181" s="15"/>
      <c r="O181" s="11"/>
      <c r="P181" s="7" t="str">
        <f aca="false">IF(B181="","",IF(AND(L181="Approved",M181&lt;&gt;"",N181&lt;&gt;""),"Ready","Not yet"))</f>
        <v/>
      </c>
    </row>
    <row r="182" customFormat="false" ht="15" hidden="false" customHeight="true" outlineLevel="0" collapsed="false">
      <c r="A182" s="11"/>
      <c r="B182" s="11"/>
      <c r="C182" s="11"/>
      <c r="D182" s="11"/>
      <c r="E182" s="11"/>
      <c r="F182" s="11"/>
      <c r="G182" s="11"/>
      <c r="H182" s="11"/>
      <c r="I182" s="11"/>
      <c r="J182" s="11"/>
      <c r="K182" s="11"/>
      <c r="L182" s="11"/>
      <c r="M182" s="11"/>
      <c r="N182" s="15"/>
      <c r="O182" s="11"/>
      <c r="P182" s="7" t="str">
        <f aca="false">IF(B182="","",IF(AND(L182="Approved",M182&lt;&gt;"",N182&lt;&gt;""),"Ready","Not yet"))</f>
        <v/>
      </c>
    </row>
    <row r="183" customFormat="false" ht="15" hidden="false" customHeight="true" outlineLevel="0" collapsed="false">
      <c r="A183" s="11"/>
      <c r="B183" s="11"/>
      <c r="C183" s="11"/>
      <c r="D183" s="11"/>
      <c r="E183" s="11"/>
      <c r="F183" s="11"/>
      <c r="G183" s="11"/>
      <c r="H183" s="11"/>
      <c r="I183" s="11"/>
      <c r="J183" s="11"/>
      <c r="K183" s="11"/>
      <c r="L183" s="11"/>
      <c r="M183" s="11"/>
      <c r="N183" s="15"/>
      <c r="O183" s="11"/>
      <c r="P183" s="7" t="str">
        <f aca="false">IF(B183="","",IF(AND(L183="Approved",M183&lt;&gt;"",N183&lt;&gt;""),"Ready","Not yet"))</f>
        <v/>
      </c>
    </row>
    <row r="184" customFormat="false" ht="15" hidden="false" customHeight="true" outlineLevel="0" collapsed="false">
      <c r="A184" s="11"/>
      <c r="B184" s="11"/>
      <c r="C184" s="11"/>
      <c r="D184" s="11"/>
      <c r="E184" s="11"/>
      <c r="F184" s="11"/>
      <c r="G184" s="11"/>
      <c r="H184" s="11"/>
      <c r="I184" s="11"/>
      <c r="J184" s="11"/>
      <c r="K184" s="11"/>
      <c r="L184" s="11"/>
      <c r="M184" s="11"/>
      <c r="N184" s="15"/>
      <c r="O184" s="11"/>
      <c r="P184" s="7" t="str">
        <f aca="false">IF(B184="","",IF(AND(L184="Approved",M184&lt;&gt;"",N184&lt;&gt;""),"Ready","Not yet"))</f>
        <v/>
      </c>
    </row>
    <row r="185" customFormat="false" ht="15" hidden="false" customHeight="true" outlineLevel="0" collapsed="false">
      <c r="A185" s="11"/>
      <c r="B185" s="11"/>
      <c r="C185" s="11"/>
      <c r="D185" s="11"/>
      <c r="E185" s="11"/>
      <c r="F185" s="11"/>
      <c r="G185" s="11"/>
      <c r="H185" s="11"/>
      <c r="I185" s="11"/>
      <c r="J185" s="11"/>
      <c r="K185" s="11"/>
      <c r="L185" s="11"/>
      <c r="M185" s="11"/>
      <c r="N185" s="15"/>
      <c r="O185" s="11"/>
      <c r="P185" s="7" t="str">
        <f aca="false">IF(B185="","",IF(AND(L185="Approved",M185&lt;&gt;"",N185&lt;&gt;""),"Ready","Not yet"))</f>
        <v/>
      </c>
    </row>
    <row r="186" customFormat="false" ht="15" hidden="false" customHeight="true" outlineLevel="0" collapsed="false">
      <c r="A186" s="11"/>
      <c r="B186" s="11"/>
      <c r="C186" s="11"/>
      <c r="D186" s="11"/>
      <c r="E186" s="11"/>
      <c r="F186" s="11"/>
      <c r="G186" s="11"/>
      <c r="H186" s="11"/>
      <c r="I186" s="11"/>
      <c r="J186" s="11"/>
      <c r="K186" s="11"/>
      <c r="L186" s="11"/>
      <c r="M186" s="11"/>
      <c r="N186" s="15"/>
      <c r="O186" s="11"/>
      <c r="P186" s="7" t="str">
        <f aca="false">IF(B186="","",IF(AND(L186="Approved",M186&lt;&gt;"",N186&lt;&gt;""),"Ready","Not yet"))</f>
        <v/>
      </c>
    </row>
    <row r="187" customFormat="false" ht="15" hidden="false" customHeight="true" outlineLevel="0" collapsed="false">
      <c r="A187" s="11"/>
      <c r="B187" s="11"/>
      <c r="C187" s="11"/>
      <c r="D187" s="11"/>
      <c r="E187" s="11"/>
      <c r="F187" s="11"/>
      <c r="G187" s="11"/>
      <c r="H187" s="11"/>
      <c r="I187" s="11"/>
      <c r="J187" s="11"/>
      <c r="K187" s="11"/>
      <c r="L187" s="11"/>
      <c r="M187" s="11"/>
      <c r="N187" s="15"/>
      <c r="O187" s="11"/>
      <c r="P187" s="7" t="str">
        <f aca="false">IF(B187="","",IF(AND(L187="Approved",M187&lt;&gt;"",N187&lt;&gt;""),"Ready","Not yet"))</f>
        <v/>
      </c>
    </row>
    <row r="188" customFormat="false" ht="15" hidden="false" customHeight="true" outlineLevel="0" collapsed="false">
      <c r="A188" s="11"/>
      <c r="B188" s="11"/>
      <c r="C188" s="11"/>
      <c r="D188" s="11"/>
      <c r="E188" s="11"/>
      <c r="F188" s="11"/>
      <c r="G188" s="11"/>
      <c r="H188" s="11"/>
      <c r="I188" s="11"/>
      <c r="J188" s="11"/>
      <c r="K188" s="11"/>
      <c r="L188" s="11"/>
      <c r="M188" s="11"/>
      <c r="N188" s="15"/>
      <c r="O188" s="11"/>
      <c r="P188" s="7" t="str">
        <f aca="false">IF(B188="","",IF(AND(L188="Approved",M188&lt;&gt;"",N188&lt;&gt;""),"Ready","Not yet"))</f>
        <v/>
      </c>
    </row>
    <row r="189" customFormat="false" ht="15" hidden="false" customHeight="true" outlineLevel="0" collapsed="false">
      <c r="A189" s="11"/>
      <c r="B189" s="11"/>
      <c r="C189" s="11"/>
      <c r="D189" s="11"/>
      <c r="E189" s="11"/>
      <c r="F189" s="11"/>
      <c r="G189" s="11"/>
      <c r="H189" s="11"/>
      <c r="I189" s="11"/>
      <c r="J189" s="11"/>
      <c r="K189" s="11"/>
      <c r="L189" s="11"/>
      <c r="M189" s="11"/>
      <c r="N189" s="15"/>
      <c r="O189" s="11"/>
      <c r="P189" s="7" t="str">
        <f aca="false">IF(B189="","",IF(AND(L189="Approved",M189&lt;&gt;"",N189&lt;&gt;""),"Ready","Not yet"))</f>
        <v/>
      </c>
    </row>
    <row r="190" customFormat="false" ht="15" hidden="false" customHeight="true" outlineLevel="0" collapsed="false">
      <c r="A190" s="11"/>
      <c r="B190" s="11"/>
      <c r="C190" s="11"/>
      <c r="D190" s="11"/>
      <c r="E190" s="11"/>
      <c r="F190" s="11"/>
      <c r="G190" s="11"/>
      <c r="H190" s="11"/>
      <c r="I190" s="11"/>
      <c r="J190" s="11"/>
      <c r="K190" s="11"/>
      <c r="L190" s="11"/>
      <c r="M190" s="11"/>
      <c r="N190" s="15"/>
      <c r="O190" s="11"/>
      <c r="P190" s="7" t="str">
        <f aca="false">IF(B190="","",IF(AND(L190="Approved",M190&lt;&gt;"",N190&lt;&gt;""),"Ready","Not yet"))</f>
        <v/>
      </c>
    </row>
    <row r="191" customFormat="false" ht="15" hidden="false" customHeight="true" outlineLevel="0" collapsed="false">
      <c r="A191" s="11"/>
      <c r="B191" s="11"/>
      <c r="C191" s="11"/>
      <c r="D191" s="11"/>
      <c r="E191" s="11"/>
      <c r="F191" s="11"/>
      <c r="G191" s="11"/>
      <c r="H191" s="11"/>
      <c r="I191" s="11"/>
      <c r="J191" s="11"/>
      <c r="K191" s="11"/>
      <c r="L191" s="11"/>
      <c r="M191" s="11"/>
      <c r="N191" s="15"/>
      <c r="O191" s="11"/>
      <c r="P191" s="7" t="str">
        <f aca="false">IF(B191="","",IF(AND(L191="Approved",M191&lt;&gt;"",N191&lt;&gt;""),"Ready","Not yet"))</f>
        <v/>
      </c>
    </row>
    <row r="192" customFormat="false" ht="15" hidden="false" customHeight="true" outlineLevel="0" collapsed="false">
      <c r="A192" s="11"/>
      <c r="B192" s="11"/>
      <c r="C192" s="11"/>
      <c r="D192" s="11"/>
      <c r="E192" s="11"/>
      <c r="F192" s="11"/>
      <c r="G192" s="11"/>
      <c r="H192" s="11"/>
      <c r="I192" s="11"/>
      <c r="J192" s="11"/>
      <c r="K192" s="11"/>
      <c r="L192" s="11"/>
      <c r="M192" s="11"/>
      <c r="N192" s="15"/>
      <c r="O192" s="11"/>
      <c r="P192" s="7" t="str">
        <f aca="false">IF(B192="","",IF(AND(L192="Approved",M192&lt;&gt;"",N192&lt;&gt;""),"Ready","Not yet"))</f>
        <v/>
      </c>
    </row>
    <row r="193" customFormat="false" ht="15" hidden="false" customHeight="true" outlineLevel="0" collapsed="false">
      <c r="A193" s="11"/>
      <c r="B193" s="11"/>
      <c r="C193" s="11"/>
      <c r="D193" s="11"/>
      <c r="E193" s="11"/>
      <c r="F193" s="11"/>
      <c r="G193" s="11"/>
      <c r="H193" s="11"/>
      <c r="I193" s="11"/>
      <c r="J193" s="11"/>
      <c r="K193" s="11"/>
      <c r="L193" s="11"/>
      <c r="M193" s="11"/>
      <c r="N193" s="15"/>
      <c r="O193" s="11"/>
      <c r="P193" s="7" t="str">
        <f aca="false">IF(B193="","",IF(AND(L193="Approved",M193&lt;&gt;"",N193&lt;&gt;""),"Ready","Not yet"))</f>
        <v/>
      </c>
    </row>
    <row r="194" customFormat="false" ht="15" hidden="false" customHeight="true" outlineLevel="0" collapsed="false">
      <c r="A194" s="11"/>
      <c r="B194" s="11"/>
      <c r="C194" s="11"/>
      <c r="D194" s="11"/>
      <c r="E194" s="11"/>
      <c r="F194" s="11"/>
      <c r="G194" s="11"/>
      <c r="H194" s="11"/>
      <c r="I194" s="11"/>
      <c r="J194" s="11"/>
      <c r="K194" s="11"/>
      <c r="L194" s="11"/>
      <c r="M194" s="11"/>
      <c r="N194" s="15"/>
      <c r="O194" s="11"/>
      <c r="P194" s="7" t="str">
        <f aca="false">IF(B194="","",IF(AND(L194="Approved",M194&lt;&gt;"",N194&lt;&gt;""),"Ready","Not yet"))</f>
        <v/>
      </c>
    </row>
    <row r="195" customFormat="false" ht="15" hidden="false" customHeight="true" outlineLevel="0" collapsed="false">
      <c r="A195" s="11"/>
      <c r="B195" s="11"/>
      <c r="C195" s="11"/>
      <c r="D195" s="11"/>
      <c r="E195" s="11"/>
      <c r="F195" s="11"/>
      <c r="G195" s="11"/>
      <c r="H195" s="11"/>
      <c r="I195" s="11"/>
      <c r="J195" s="11"/>
      <c r="K195" s="11"/>
      <c r="L195" s="11"/>
      <c r="M195" s="11"/>
      <c r="N195" s="15"/>
      <c r="O195" s="11"/>
      <c r="P195" s="7" t="str">
        <f aca="false">IF(B195="","",IF(AND(L195="Approved",M195&lt;&gt;"",N195&lt;&gt;""),"Ready","Not yet"))</f>
        <v/>
      </c>
    </row>
    <row r="196" customFormat="false" ht="15" hidden="false" customHeight="true" outlineLevel="0" collapsed="false">
      <c r="A196" s="11"/>
      <c r="B196" s="11"/>
      <c r="C196" s="11"/>
      <c r="D196" s="11"/>
      <c r="E196" s="11"/>
      <c r="F196" s="11"/>
      <c r="G196" s="11"/>
      <c r="H196" s="11"/>
      <c r="I196" s="11"/>
      <c r="J196" s="11"/>
      <c r="K196" s="11"/>
      <c r="L196" s="11"/>
      <c r="M196" s="11"/>
      <c r="N196" s="15"/>
      <c r="O196" s="11"/>
      <c r="P196" s="7" t="str">
        <f aca="false">IF(B196="","",IF(AND(L196="Approved",M196&lt;&gt;"",N196&lt;&gt;""),"Ready","Not yet"))</f>
        <v/>
      </c>
    </row>
    <row r="197" customFormat="false" ht="15" hidden="false" customHeight="true" outlineLevel="0" collapsed="false">
      <c r="A197" s="11"/>
      <c r="B197" s="11"/>
      <c r="C197" s="11"/>
      <c r="D197" s="11"/>
      <c r="E197" s="11"/>
      <c r="F197" s="11"/>
      <c r="G197" s="11"/>
      <c r="H197" s="11"/>
      <c r="I197" s="11"/>
      <c r="J197" s="11"/>
      <c r="K197" s="11"/>
      <c r="L197" s="11"/>
      <c r="M197" s="11"/>
      <c r="N197" s="15"/>
      <c r="O197" s="11"/>
      <c r="P197" s="7" t="str">
        <f aca="false">IF(B197="","",IF(AND(L197="Approved",M197&lt;&gt;"",N197&lt;&gt;""),"Ready","Not yet"))</f>
        <v/>
      </c>
    </row>
    <row r="198" customFormat="false" ht="15" hidden="false" customHeight="true" outlineLevel="0" collapsed="false">
      <c r="A198" s="11"/>
      <c r="B198" s="11"/>
      <c r="C198" s="11"/>
      <c r="D198" s="11"/>
      <c r="E198" s="11"/>
      <c r="F198" s="11"/>
      <c r="G198" s="11"/>
      <c r="H198" s="11"/>
      <c r="I198" s="11"/>
      <c r="J198" s="11"/>
      <c r="K198" s="11"/>
      <c r="L198" s="11"/>
      <c r="M198" s="11"/>
      <c r="N198" s="15"/>
      <c r="O198" s="11"/>
      <c r="P198" s="7" t="str">
        <f aca="false">IF(B198="","",IF(AND(L198="Approved",M198&lt;&gt;"",N198&lt;&gt;""),"Ready","Not yet"))</f>
        <v/>
      </c>
    </row>
    <row r="199" customFormat="false" ht="15" hidden="false" customHeight="true" outlineLevel="0" collapsed="false">
      <c r="A199" s="11"/>
      <c r="B199" s="11"/>
      <c r="C199" s="11"/>
      <c r="D199" s="11"/>
      <c r="E199" s="11"/>
      <c r="F199" s="11"/>
      <c r="G199" s="11"/>
      <c r="H199" s="11"/>
      <c r="I199" s="11"/>
      <c r="J199" s="11"/>
      <c r="K199" s="11"/>
      <c r="L199" s="11"/>
      <c r="M199" s="11"/>
      <c r="N199" s="15"/>
      <c r="O199" s="11"/>
      <c r="P199" s="7" t="str">
        <f aca="false">IF(B199="","",IF(AND(L199="Approved",M199&lt;&gt;"",N199&lt;&gt;""),"Ready","Not yet"))</f>
        <v/>
      </c>
    </row>
    <row r="200" customFormat="false" ht="15" hidden="false" customHeight="true" outlineLevel="0" collapsed="false">
      <c r="A200" s="11"/>
      <c r="B200" s="11"/>
      <c r="C200" s="11"/>
      <c r="D200" s="11"/>
      <c r="E200" s="11"/>
      <c r="F200" s="11"/>
      <c r="G200" s="11"/>
      <c r="H200" s="11"/>
      <c r="I200" s="11"/>
      <c r="J200" s="11"/>
      <c r="K200" s="11"/>
      <c r="L200" s="11"/>
      <c r="M200" s="11"/>
      <c r="N200" s="15"/>
      <c r="O200" s="11"/>
      <c r="P200" s="7" t="str">
        <f aca="false">IF(B200="","",IF(AND(L200="Approved",M200&lt;&gt;"",N200&lt;&gt;""),"Ready","Not yet"))</f>
        <v/>
      </c>
    </row>
    <row r="201" customFormat="false" ht="15" hidden="false" customHeight="true" outlineLevel="0" collapsed="false">
      <c r="A201" s="11"/>
      <c r="B201" s="11"/>
      <c r="C201" s="11"/>
      <c r="D201" s="11"/>
      <c r="E201" s="11"/>
      <c r="F201" s="11"/>
      <c r="G201" s="11"/>
      <c r="H201" s="11"/>
      <c r="I201" s="11"/>
      <c r="J201" s="11"/>
      <c r="K201" s="11"/>
      <c r="L201" s="11"/>
      <c r="M201" s="11"/>
      <c r="N201" s="15"/>
      <c r="O201" s="11"/>
      <c r="P201" s="7" t="str">
        <f aca="false">IF(B201="","",IF(AND(L201="Approved",M201&lt;&gt;"",N201&lt;&gt;""),"Ready","Not yet"))</f>
        <v/>
      </c>
    </row>
  </sheetData>
  <autoFilter ref="A1:P201"/>
  <dataValidations count="4">
    <dataValidation allowBlank="true" errorStyle="stop" operator="between" showDropDown="false" showErrorMessage="false" showInputMessage="false" sqref="E2:E201" type="list">
      <formula1>Lists!$I$2:$I$7</formula1>
      <formula2>0</formula2>
    </dataValidation>
    <dataValidation allowBlank="true" errorStyle="stop" operator="between" showDropDown="false" showErrorMessage="false" showInputMessage="false" sqref="C2:C201" type="list">
      <formula1>Lists!$J$2:$J$7</formula1>
      <formula2>0</formula2>
    </dataValidation>
    <dataValidation allowBlank="true" errorStyle="stop" operator="between" showDropDown="false" showErrorMessage="false" showInputMessage="false" sqref="L2:L201" type="list">
      <formula1>Lists!$E$2:$E$6</formula1>
      <formula2>0</formula2>
    </dataValidation>
    <dataValidation allowBlank="true" errorStyle="stop" operator="between" showDropDown="false" showErrorMessage="false" showInputMessage="false" sqref="J2:J201" type="list">
      <formula1>Lists!$F$2:$F$6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0"/>
    <col collapsed="false" customWidth="true" hidden="false" outlineLevel="0" max="3" min="3" style="1" width="9"/>
    <col collapsed="false" customWidth="true" hidden="false" outlineLevel="0" max="5" min="4" style="1" width="26"/>
    <col collapsed="false" customWidth="true" hidden="false" outlineLevel="0" max="6" min="6" style="1" width="34"/>
    <col collapsed="false" customWidth="true" hidden="false" outlineLevel="0" max="7" min="7" style="1" width="30"/>
    <col collapsed="false" customWidth="true" hidden="false" outlineLevel="0" max="8" min="8" style="1" width="26"/>
    <col collapsed="false" customWidth="true" hidden="false" outlineLevel="0" max="9" min="9" style="1" width="34"/>
    <col collapsed="false" customWidth="true" hidden="false" outlineLevel="0" max="10" min="10" style="1" width="24"/>
    <col collapsed="false" customWidth="true" hidden="false" outlineLevel="0" max="11" min="11" style="1" width="40"/>
    <col collapsed="false" customWidth="true" hidden="false" outlineLevel="0" max="12" min="12" style="1" width="14"/>
    <col collapsed="false" customWidth="true" hidden="false" outlineLevel="0" max="13" min="13" style="1" width="13"/>
    <col collapsed="false" customWidth="true" hidden="false" outlineLevel="0" max="14" min="14" style="1" width="14"/>
    <col collapsed="false" customWidth="true" hidden="false" outlineLevel="0" max="15" min="15" style="1" width="13"/>
    <col collapsed="false" customWidth="true" hidden="false" outlineLevel="0" max="16" min="16" style="1" width="26"/>
    <col collapsed="false" customWidth="true" hidden="false" outlineLevel="0" max="17" min="17" style="1" width="20"/>
    <col collapsed="false" customWidth="true" hidden="false" outlineLevel="0" max="18" min="18" style="1" width="13"/>
  </cols>
  <sheetData>
    <row r="1" customFormat="false" ht="30" hidden="false" customHeight="true" outlineLevel="0" collapsed="false">
      <c r="A1" s="10" t="s">
        <v>1020</v>
      </c>
      <c r="B1" s="10" t="s">
        <v>383</v>
      </c>
      <c r="C1" s="10" t="s">
        <v>388</v>
      </c>
      <c r="D1" s="10" t="s">
        <v>384</v>
      </c>
      <c r="E1" s="10" t="s">
        <v>1021</v>
      </c>
      <c r="F1" s="10" t="s">
        <v>1022</v>
      </c>
      <c r="G1" s="10" t="s">
        <v>1023</v>
      </c>
      <c r="H1" s="10" t="s">
        <v>1024</v>
      </c>
      <c r="I1" s="10" t="s">
        <v>386</v>
      </c>
      <c r="J1" s="10" t="s">
        <v>43</v>
      </c>
      <c r="K1" s="10" t="s">
        <v>1025</v>
      </c>
      <c r="L1" s="10" t="s">
        <v>46</v>
      </c>
      <c r="M1" s="10" t="s">
        <v>47</v>
      </c>
      <c r="N1" s="10" t="s">
        <v>48</v>
      </c>
      <c r="O1" s="10" t="s">
        <v>49</v>
      </c>
      <c r="P1" s="10" t="s">
        <v>50</v>
      </c>
      <c r="Q1" s="10" t="s">
        <v>389</v>
      </c>
      <c r="R1" s="10" t="s">
        <v>51</v>
      </c>
    </row>
    <row r="2" customFormat="false" ht="23.25" hidden="false" customHeight="true" outlineLevel="0" collapsed="false">
      <c r="A2" s="11" t="s">
        <v>1026</v>
      </c>
      <c r="B2" s="11" t="s">
        <v>390</v>
      </c>
      <c r="C2" s="11" t="s">
        <v>395</v>
      </c>
      <c r="D2" s="11" t="s">
        <v>391</v>
      </c>
      <c r="E2" s="11" t="s">
        <v>1027</v>
      </c>
      <c r="F2" s="11" t="s">
        <v>1028</v>
      </c>
      <c r="G2" s="11" t="s">
        <v>1029</v>
      </c>
      <c r="H2" s="11"/>
      <c r="I2" s="11" t="s">
        <v>393</v>
      </c>
      <c r="J2" s="11" t="s">
        <v>394</v>
      </c>
      <c r="K2" s="11" t="s">
        <v>1030</v>
      </c>
      <c r="L2" s="11" t="s">
        <v>59</v>
      </c>
      <c r="M2" s="11" t="s">
        <v>60</v>
      </c>
      <c r="N2" s="11"/>
      <c r="O2" s="15"/>
      <c r="P2" s="11"/>
      <c r="Q2" s="7" t="str">
        <f aca="false">IF(B2="","",IF(SUBSTITUTE(SUBSTITUTE(D2," ",""),"|","")=B2,"OK","Split letters don't match"))</f>
        <v>OK</v>
      </c>
      <c r="R2" s="7" t="str">
        <f aca="false">IF(B2="","",IF(AND(M2="Approved",N2&lt;&gt;"",O2&lt;&gt;"",Q2="OK"),"Ready","Not yet"))</f>
        <v>Not yet</v>
      </c>
    </row>
    <row r="3" customFormat="false" ht="23.25" hidden="false" customHeight="true" outlineLevel="0" collapsed="false">
      <c r="A3" s="11" t="s">
        <v>1031</v>
      </c>
      <c r="B3" s="11" t="s">
        <v>452</v>
      </c>
      <c r="C3" s="11" t="s">
        <v>395</v>
      </c>
      <c r="D3" s="11" t="s">
        <v>453</v>
      </c>
      <c r="E3" s="11" t="s">
        <v>1027</v>
      </c>
      <c r="F3" s="11" t="s">
        <v>1032</v>
      </c>
      <c r="G3" s="11" t="s">
        <v>1033</v>
      </c>
      <c r="H3" s="11"/>
      <c r="I3" s="11" t="s">
        <v>455</v>
      </c>
      <c r="J3" s="11" t="s">
        <v>456</v>
      </c>
      <c r="K3" s="11" t="s">
        <v>1034</v>
      </c>
      <c r="L3" s="11" t="s">
        <v>59</v>
      </c>
      <c r="M3" s="11" t="s">
        <v>60</v>
      </c>
      <c r="N3" s="11"/>
      <c r="O3" s="15"/>
      <c r="P3" s="11"/>
      <c r="Q3" s="7" t="str">
        <f aca="false">IF(B3="","",IF(SUBSTITUTE(SUBSTITUTE(D3," ",""),"|","")=B3,"OK","Split letters don't match"))</f>
        <v>OK</v>
      </c>
      <c r="R3" s="7" t="str">
        <f aca="false">IF(B3="","",IF(AND(M3="Approved",N3&lt;&gt;"",O3&lt;&gt;"",Q3="OK"),"Ready","Not yet"))</f>
        <v>Not yet</v>
      </c>
    </row>
    <row r="4" customFormat="false" ht="15" hidden="false" customHeight="true" outlineLevel="0" collapsed="false">
      <c r="A4" s="11" t="s">
        <v>1035</v>
      </c>
      <c r="B4" s="11" t="s">
        <v>519</v>
      </c>
      <c r="C4" s="11" t="s">
        <v>395</v>
      </c>
      <c r="D4" s="11" t="s">
        <v>520</v>
      </c>
      <c r="E4" s="11" t="s">
        <v>1027</v>
      </c>
      <c r="F4" s="11" t="s">
        <v>1036</v>
      </c>
      <c r="G4" s="11" t="s">
        <v>1037</v>
      </c>
      <c r="H4" s="11"/>
      <c r="I4" s="11" t="s">
        <v>522</v>
      </c>
      <c r="J4" s="11" t="s">
        <v>523</v>
      </c>
      <c r="K4" s="11"/>
      <c r="L4" s="11" t="s">
        <v>59</v>
      </c>
      <c r="M4" s="11" t="s">
        <v>60</v>
      </c>
      <c r="N4" s="11"/>
      <c r="O4" s="15"/>
      <c r="P4" s="11"/>
      <c r="Q4" s="7" t="str">
        <f aca="false">IF(B4="","",IF(SUBSTITUTE(SUBSTITUTE(D4," ",""),"|","")=B4,"OK","Split letters don't match"))</f>
        <v>OK</v>
      </c>
      <c r="R4" s="7" t="str">
        <f aca="false">IF(B4="","",IF(AND(M4="Approved",N4&lt;&gt;"",O4&lt;&gt;"",Q4="OK"),"Ready","Not yet"))</f>
        <v>Not yet</v>
      </c>
    </row>
    <row r="5" customFormat="false" ht="23.25" hidden="false" customHeight="true" outlineLevel="0" collapsed="false">
      <c r="A5" s="11" t="s">
        <v>1038</v>
      </c>
      <c r="B5" s="11" t="s">
        <v>488</v>
      </c>
      <c r="C5" s="11" t="s">
        <v>395</v>
      </c>
      <c r="D5" s="11" t="s">
        <v>489</v>
      </c>
      <c r="E5" s="11" t="s">
        <v>1039</v>
      </c>
      <c r="F5" s="11" t="s">
        <v>1040</v>
      </c>
      <c r="G5" s="11" t="s">
        <v>1041</v>
      </c>
      <c r="H5" s="11"/>
      <c r="I5" s="11" t="s">
        <v>491</v>
      </c>
      <c r="J5" s="11" t="s">
        <v>492</v>
      </c>
      <c r="K5" s="11" t="s">
        <v>1042</v>
      </c>
      <c r="L5" s="11" t="s">
        <v>59</v>
      </c>
      <c r="M5" s="11" t="s">
        <v>60</v>
      </c>
      <c r="N5" s="11"/>
      <c r="O5" s="15"/>
      <c r="P5" s="11"/>
      <c r="Q5" s="7" t="str">
        <f aca="false">IF(B5="","",IF(SUBSTITUTE(SUBSTITUTE(D5," ",""),"|","")=B5,"OK","Split letters don't match"))</f>
        <v>OK</v>
      </c>
      <c r="R5" s="7" t="str">
        <f aca="false">IF(B5="","",IF(AND(M5="Approved",N5&lt;&gt;"",O5&lt;&gt;"",Q5="OK"),"Ready","Not yet"))</f>
        <v>Not yet</v>
      </c>
    </row>
    <row r="6" customFormat="false" ht="15" hidden="false" customHeight="true" outlineLevel="0" collapsed="false">
      <c r="A6" s="11" t="s">
        <v>1043</v>
      </c>
      <c r="B6" s="11" t="s">
        <v>1044</v>
      </c>
      <c r="C6" s="11" t="s">
        <v>395</v>
      </c>
      <c r="D6" s="11" t="s">
        <v>1045</v>
      </c>
      <c r="E6" s="11" t="s">
        <v>1039</v>
      </c>
      <c r="F6" s="11" t="s">
        <v>1046</v>
      </c>
      <c r="G6" s="11" t="s">
        <v>1047</v>
      </c>
      <c r="H6" s="11"/>
      <c r="I6" s="11" t="s">
        <v>1048</v>
      </c>
      <c r="J6" s="11" t="s">
        <v>1049</v>
      </c>
      <c r="K6" s="11"/>
      <c r="L6" s="11" t="s">
        <v>59</v>
      </c>
      <c r="M6" s="11" t="s">
        <v>60</v>
      </c>
      <c r="N6" s="11"/>
      <c r="O6" s="15"/>
      <c r="P6" s="11"/>
      <c r="Q6" s="7" t="str">
        <f aca="false">IF(B6="","",IF(SUBSTITUTE(SUBSTITUTE(D6," ",""),"|","")=B6,"OK","Split letters don't match"))</f>
        <v>OK</v>
      </c>
      <c r="R6" s="7" t="str">
        <f aca="false">IF(B6="","",IF(AND(M6="Approved",N6&lt;&gt;"",O6&lt;&gt;"",Q6="OK"),"Ready","Not yet"))</f>
        <v>Not yet</v>
      </c>
    </row>
    <row r="7" customFormat="false" ht="15" hidden="false" customHeight="true" outlineLevel="0" collapsed="false">
      <c r="A7" s="11" t="s">
        <v>1050</v>
      </c>
      <c r="B7" s="11" t="s">
        <v>406</v>
      </c>
      <c r="C7" s="11" t="s">
        <v>395</v>
      </c>
      <c r="D7" s="11" t="s">
        <v>407</v>
      </c>
      <c r="E7" s="11" t="s">
        <v>1027</v>
      </c>
      <c r="F7" s="11" t="s">
        <v>1051</v>
      </c>
      <c r="G7" s="11" t="s">
        <v>1052</v>
      </c>
      <c r="H7" s="11"/>
      <c r="I7" s="11" t="s">
        <v>409</v>
      </c>
      <c r="J7" s="11" t="s">
        <v>410</v>
      </c>
      <c r="K7" s="11"/>
      <c r="L7" s="11" t="s">
        <v>59</v>
      </c>
      <c r="M7" s="11" t="s">
        <v>60</v>
      </c>
      <c r="N7" s="11"/>
      <c r="O7" s="15"/>
      <c r="P7" s="11"/>
      <c r="Q7" s="7" t="str">
        <f aca="false">IF(B7="","",IF(SUBSTITUTE(SUBSTITUTE(D7," ",""),"|","")=B7,"OK","Split letters don't match"))</f>
        <v>OK</v>
      </c>
      <c r="R7" s="7" t="str">
        <f aca="false">IF(B7="","",IF(AND(M7="Approved",N7&lt;&gt;"",O7&lt;&gt;"",Q7="OK"),"Ready","Not yet"))</f>
        <v>Not yet</v>
      </c>
    </row>
    <row r="8" customFormat="false" ht="15" hidden="false" customHeight="true" outlineLevel="0" collapsed="false">
      <c r="A8" s="11" t="s">
        <v>1053</v>
      </c>
      <c r="B8" s="11" t="s">
        <v>493</v>
      </c>
      <c r="C8" s="11" t="s">
        <v>395</v>
      </c>
      <c r="D8" s="11" t="s">
        <v>494</v>
      </c>
      <c r="E8" s="11" t="s">
        <v>1027</v>
      </c>
      <c r="F8" s="11" t="s">
        <v>1054</v>
      </c>
      <c r="G8" s="11" t="s">
        <v>1055</v>
      </c>
      <c r="H8" s="11"/>
      <c r="I8" s="11" t="s">
        <v>496</v>
      </c>
      <c r="J8" s="11" t="s">
        <v>497</v>
      </c>
      <c r="K8" s="11"/>
      <c r="L8" s="11" t="s">
        <v>59</v>
      </c>
      <c r="M8" s="11" t="s">
        <v>60</v>
      </c>
      <c r="N8" s="11"/>
      <c r="O8" s="15"/>
      <c r="P8" s="11"/>
      <c r="Q8" s="7" t="str">
        <f aca="false">IF(B8="","",IF(SUBSTITUTE(SUBSTITUTE(D8," ",""),"|","")=B8,"OK","Split letters don't match"))</f>
        <v>OK</v>
      </c>
      <c r="R8" s="7" t="str">
        <f aca="false">IF(B8="","",IF(AND(M8="Approved",N8&lt;&gt;"",O8&lt;&gt;"",Q8="OK"),"Ready","Not yet"))</f>
        <v>Not yet</v>
      </c>
    </row>
    <row r="9" customFormat="false" ht="15" hidden="false" customHeight="true" outlineLevel="0" collapsed="false">
      <c r="A9" s="11" t="s">
        <v>1056</v>
      </c>
      <c r="B9" s="11" t="s">
        <v>446</v>
      </c>
      <c r="C9" s="11" t="s">
        <v>395</v>
      </c>
      <c r="D9" s="11" t="s">
        <v>447</v>
      </c>
      <c r="E9" s="11" t="s">
        <v>1027</v>
      </c>
      <c r="F9" s="11" t="s">
        <v>1057</v>
      </c>
      <c r="G9" s="11" t="s">
        <v>1058</v>
      </c>
      <c r="H9" s="11"/>
      <c r="I9" s="11" t="s">
        <v>449</v>
      </c>
      <c r="J9" s="11" t="s">
        <v>450</v>
      </c>
      <c r="K9" s="11"/>
      <c r="L9" s="11" t="s">
        <v>59</v>
      </c>
      <c r="M9" s="11" t="s">
        <v>60</v>
      </c>
      <c r="N9" s="11"/>
      <c r="O9" s="15"/>
      <c r="P9" s="11"/>
      <c r="Q9" s="7" t="str">
        <f aca="false">IF(B9="","",IF(SUBSTITUTE(SUBSTITUTE(D9," ",""),"|","")=B9,"OK","Split letters don't match"))</f>
        <v>OK</v>
      </c>
      <c r="R9" s="7" t="str">
        <f aca="false">IF(B9="","",IF(AND(M9="Approved",N9&lt;&gt;"",O9&lt;&gt;"",Q9="OK"),"Ready","Not yet"))</f>
        <v>Not yet</v>
      </c>
    </row>
    <row r="10" customFormat="false" ht="15" hidden="false" customHeight="true" outlineLevel="0" collapsed="false">
      <c r="A10" s="11" t="s">
        <v>1059</v>
      </c>
      <c r="B10" s="11" t="s">
        <v>472</v>
      </c>
      <c r="C10" s="11" t="s">
        <v>395</v>
      </c>
      <c r="D10" s="11" t="s">
        <v>473</v>
      </c>
      <c r="E10" s="11" t="s">
        <v>1039</v>
      </c>
      <c r="F10" s="11" t="s">
        <v>1060</v>
      </c>
      <c r="G10" s="11" t="s">
        <v>1061</v>
      </c>
      <c r="H10" s="11"/>
      <c r="I10" s="11" t="s">
        <v>475</v>
      </c>
      <c r="J10" s="11" t="s">
        <v>476</v>
      </c>
      <c r="K10" s="11"/>
      <c r="L10" s="11" t="s">
        <v>59</v>
      </c>
      <c r="M10" s="11" t="s">
        <v>60</v>
      </c>
      <c r="N10" s="11"/>
      <c r="O10" s="15"/>
      <c r="P10" s="11"/>
      <c r="Q10" s="7" t="str">
        <f aca="false">IF(B10="","",IF(SUBSTITUTE(SUBSTITUTE(D10," ",""),"|","")=B10,"OK","Split letters don't match"))</f>
        <v>OK</v>
      </c>
      <c r="R10" s="7" t="str">
        <f aca="false">IF(B10="","",IF(AND(M10="Approved",N10&lt;&gt;"",O10&lt;&gt;"",Q10="OK"),"Ready","Not yet"))</f>
        <v>Not yet</v>
      </c>
    </row>
    <row r="11" customFormat="false" ht="15" hidden="false" customHeight="true" outlineLevel="0" collapsed="false">
      <c r="A11" s="11" t="s">
        <v>1062</v>
      </c>
      <c r="B11" s="11" t="s">
        <v>931</v>
      </c>
      <c r="C11" s="11" t="s">
        <v>395</v>
      </c>
      <c r="D11" s="11" t="s">
        <v>1063</v>
      </c>
      <c r="E11" s="11" t="s">
        <v>1039</v>
      </c>
      <c r="F11" s="11" t="s">
        <v>1064</v>
      </c>
      <c r="G11" s="11" t="s">
        <v>1065</v>
      </c>
      <c r="H11" s="11"/>
      <c r="I11" s="11" t="s">
        <v>1066</v>
      </c>
      <c r="J11" s="11" t="s">
        <v>933</v>
      </c>
      <c r="K11" s="11"/>
      <c r="L11" s="11" t="s">
        <v>59</v>
      </c>
      <c r="M11" s="11" t="s">
        <v>60</v>
      </c>
      <c r="N11" s="11"/>
      <c r="O11" s="15"/>
      <c r="P11" s="11"/>
      <c r="Q11" s="7" t="str">
        <f aca="false">IF(B11="","",IF(SUBSTITUTE(SUBSTITUTE(D11," ",""),"|","")=B11,"OK","Split letters don't match"))</f>
        <v>OK</v>
      </c>
      <c r="R11" s="7" t="str">
        <f aca="false">IF(B11="","",IF(AND(M11="Approved",N11&lt;&gt;"",O11&lt;&gt;"",Q11="OK"),"Ready","Not yet"))</f>
        <v>Not yet</v>
      </c>
    </row>
    <row r="12" customFormat="false" ht="15" hidden="false" customHeight="true" outlineLevel="0" collapsed="false">
      <c r="A12" s="11" t="s">
        <v>1067</v>
      </c>
      <c r="B12" s="11" t="s">
        <v>426</v>
      </c>
      <c r="C12" s="11" t="s">
        <v>395</v>
      </c>
      <c r="D12" s="11" t="s">
        <v>427</v>
      </c>
      <c r="E12" s="11" t="s">
        <v>1027</v>
      </c>
      <c r="F12" s="11" t="s">
        <v>1068</v>
      </c>
      <c r="G12" s="11" t="s">
        <v>1069</v>
      </c>
      <c r="H12" s="11"/>
      <c r="I12" s="11" t="s">
        <v>429</v>
      </c>
      <c r="J12" s="11" t="s">
        <v>430</v>
      </c>
      <c r="K12" s="11"/>
      <c r="L12" s="11" t="s">
        <v>59</v>
      </c>
      <c r="M12" s="11" t="s">
        <v>60</v>
      </c>
      <c r="N12" s="11"/>
      <c r="O12" s="15"/>
      <c r="P12" s="11"/>
      <c r="Q12" s="7" t="str">
        <f aca="false">IF(B12="","",IF(SUBSTITUTE(SUBSTITUTE(D12," ",""),"|","")=B12,"OK","Split letters don't match"))</f>
        <v>OK</v>
      </c>
      <c r="R12" s="7" t="str">
        <f aca="false">IF(B12="","",IF(AND(M12="Approved",N12&lt;&gt;"",O12&lt;&gt;"",Q12="OK"),"Ready","Not yet"))</f>
        <v>Not yet</v>
      </c>
    </row>
    <row r="13" customFormat="false" ht="15" hidden="false" customHeight="true" outlineLevel="0" collapsed="false">
      <c r="A13" s="11" t="s">
        <v>1070</v>
      </c>
      <c r="B13" s="11" t="s">
        <v>1071</v>
      </c>
      <c r="C13" s="11" t="s">
        <v>395</v>
      </c>
      <c r="D13" s="11" t="s">
        <v>1072</v>
      </c>
      <c r="E13" s="11" t="s">
        <v>1027</v>
      </c>
      <c r="F13" s="11" t="s">
        <v>1073</v>
      </c>
      <c r="G13" s="11" t="s">
        <v>1074</v>
      </c>
      <c r="H13" s="11"/>
      <c r="I13" s="11" t="s">
        <v>1075</v>
      </c>
      <c r="J13" s="11" t="s">
        <v>1076</v>
      </c>
      <c r="K13" s="11"/>
      <c r="L13" s="11" t="s">
        <v>59</v>
      </c>
      <c r="M13" s="11" t="s">
        <v>60</v>
      </c>
      <c r="N13" s="11"/>
      <c r="O13" s="15"/>
      <c r="P13" s="11"/>
      <c r="Q13" s="7" t="str">
        <f aca="false">IF(B13="","",IF(SUBSTITUTE(SUBSTITUTE(D13," ",""),"|","")=B13,"OK","Split letters don't match"))</f>
        <v>OK</v>
      </c>
      <c r="R13" s="7" t="str">
        <f aca="false">IF(B13="","",IF(AND(M13="Approved",N13&lt;&gt;"",O13&lt;&gt;"",Q13="OK"),"Ready","Not yet"))</f>
        <v>Not yet</v>
      </c>
    </row>
    <row r="14" customFormat="false" ht="15" hidden="false" customHeight="true" outlineLevel="0" collapsed="false">
      <c r="A14" s="11" t="s">
        <v>1077</v>
      </c>
      <c r="B14" s="11" t="s">
        <v>633</v>
      </c>
      <c r="C14" s="11" t="s">
        <v>607</v>
      </c>
      <c r="D14" s="11" t="s">
        <v>634</v>
      </c>
      <c r="E14" s="11" t="s">
        <v>1078</v>
      </c>
      <c r="F14" s="11" t="s">
        <v>1079</v>
      </c>
      <c r="G14" s="11" t="s">
        <v>1080</v>
      </c>
      <c r="H14" s="11" t="s">
        <v>1081</v>
      </c>
      <c r="I14" s="11" t="s">
        <v>1082</v>
      </c>
      <c r="J14" s="11" t="s">
        <v>637</v>
      </c>
      <c r="K14" s="11"/>
      <c r="L14" s="11" t="s">
        <v>59</v>
      </c>
      <c r="M14" s="11" t="s">
        <v>60</v>
      </c>
      <c r="N14" s="11"/>
      <c r="O14" s="15"/>
      <c r="P14" s="11"/>
      <c r="Q14" s="7" t="str">
        <f aca="false">IF(B14="","",IF(SUBSTITUTE(SUBSTITUTE(D14," ",""),"|","")=B14,"OK","Split letters don't match"))</f>
        <v>OK</v>
      </c>
      <c r="R14" s="7" t="str">
        <f aca="false">IF(B14="","",IF(AND(M14="Approved",N14&lt;&gt;"",O14&lt;&gt;"",Q14="OK"),"Ready","Not yet"))</f>
        <v>Not yet</v>
      </c>
    </row>
    <row r="15" customFormat="false" ht="15" hidden="false" customHeight="true" outlineLevel="0" collapsed="false">
      <c r="A15" s="11" t="s">
        <v>1083</v>
      </c>
      <c r="B15" s="11" t="s">
        <v>628</v>
      </c>
      <c r="C15" s="11" t="s">
        <v>607</v>
      </c>
      <c r="D15" s="11" t="s">
        <v>629</v>
      </c>
      <c r="E15" s="11" t="s">
        <v>1078</v>
      </c>
      <c r="F15" s="11" t="s">
        <v>1084</v>
      </c>
      <c r="G15" s="11" t="s">
        <v>1085</v>
      </c>
      <c r="H15" s="11" t="s">
        <v>1086</v>
      </c>
      <c r="I15" s="11" t="s">
        <v>1087</v>
      </c>
      <c r="J15" s="11" t="s">
        <v>632</v>
      </c>
      <c r="K15" s="11"/>
      <c r="L15" s="11" t="s">
        <v>59</v>
      </c>
      <c r="M15" s="11" t="s">
        <v>60</v>
      </c>
      <c r="N15" s="11"/>
      <c r="O15" s="15"/>
      <c r="P15" s="11"/>
      <c r="Q15" s="7" t="str">
        <f aca="false">IF(B15="","",IF(SUBSTITUTE(SUBSTITUTE(D15," ",""),"|","")=B15,"OK","Split letters don't match"))</f>
        <v>OK</v>
      </c>
      <c r="R15" s="7" t="str">
        <f aca="false">IF(B15="","",IF(AND(M15="Approved",N15&lt;&gt;"",O15&lt;&gt;"",Q15="OK"),"Ready","Not yet"))</f>
        <v>Not yet</v>
      </c>
    </row>
    <row r="16" customFormat="false" ht="23.25" hidden="false" customHeight="true" outlineLevel="0" collapsed="false">
      <c r="A16" s="11" t="s">
        <v>1088</v>
      </c>
      <c r="B16" s="11" t="s">
        <v>653</v>
      </c>
      <c r="C16" s="11" t="s">
        <v>607</v>
      </c>
      <c r="D16" s="11" t="s">
        <v>654</v>
      </c>
      <c r="E16" s="11" t="s">
        <v>1078</v>
      </c>
      <c r="F16" s="11" t="s">
        <v>1089</v>
      </c>
      <c r="G16" s="11" t="s">
        <v>1090</v>
      </c>
      <c r="H16" s="11"/>
      <c r="I16" s="11" t="s">
        <v>1091</v>
      </c>
      <c r="J16" s="11" t="s">
        <v>657</v>
      </c>
      <c r="K16" s="11"/>
      <c r="L16" s="11" t="s">
        <v>59</v>
      </c>
      <c r="M16" s="11" t="s">
        <v>60</v>
      </c>
      <c r="N16" s="11"/>
      <c r="O16" s="15"/>
      <c r="P16" s="11"/>
      <c r="Q16" s="7" t="str">
        <f aca="false">IF(B16="","",IF(SUBSTITUTE(SUBSTITUTE(D16," ",""),"|","")=B16,"OK","Split letters don't match"))</f>
        <v>OK</v>
      </c>
      <c r="R16" s="7" t="str">
        <f aca="false">IF(B16="","",IF(AND(M16="Approved",N16&lt;&gt;"",O16&lt;&gt;"",Q16="OK"),"Ready","Not yet"))</f>
        <v>Not yet</v>
      </c>
    </row>
    <row r="17" customFormat="false" ht="23.25" hidden="false" customHeight="true" outlineLevel="0" collapsed="false">
      <c r="A17" s="11" t="s">
        <v>1092</v>
      </c>
      <c r="B17" s="11" t="s">
        <v>1093</v>
      </c>
      <c r="C17" s="11" t="s">
        <v>607</v>
      </c>
      <c r="D17" s="11" t="s">
        <v>1094</v>
      </c>
      <c r="E17" s="11" t="s">
        <v>1078</v>
      </c>
      <c r="F17" s="11" t="s">
        <v>1095</v>
      </c>
      <c r="G17" s="11" t="s">
        <v>1096</v>
      </c>
      <c r="H17" s="11"/>
      <c r="I17" s="11" t="s">
        <v>1097</v>
      </c>
      <c r="J17" s="11" t="s">
        <v>1098</v>
      </c>
      <c r="K17" s="11"/>
      <c r="L17" s="11" t="s">
        <v>59</v>
      </c>
      <c r="M17" s="11" t="s">
        <v>60</v>
      </c>
      <c r="N17" s="11"/>
      <c r="O17" s="15"/>
      <c r="P17" s="11"/>
      <c r="Q17" s="7" t="str">
        <f aca="false">IF(B17="","",IF(SUBSTITUTE(SUBSTITUTE(D17," ",""),"|","")=B17,"OK","Split letters don't match"))</f>
        <v>OK</v>
      </c>
      <c r="R17" s="7" t="str">
        <f aca="false">IF(B17="","",IF(AND(M17="Approved",N17&lt;&gt;"",O17&lt;&gt;"",Q17="OK"),"Ready","Not yet"))</f>
        <v>Not yet</v>
      </c>
    </row>
    <row r="18" customFormat="false" ht="15" hidden="false" customHeight="true" outlineLevel="0" collapsed="false">
      <c r="A18" s="11" t="s">
        <v>1099</v>
      </c>
      <c r="B18" s="11" t="s">
        <v>678</v>
      </c>
      <c r="C18" s="11" t="s">
        <v>607</v>
      </c>
      <c r="D18" s="11" t="s">
        <v>679</v>
      </c>
      <c r="E18" s="11" t="s">
        <v>1078</v>
      </c>
      <c r="F18" s="11" t="s">
        <v>1100</v>
      </c>
      <c r="G18" s="11" t="s">
        <v>1101</v>
      </c>
      <c r="H18" s="11"/>
      <c r="I18" s="11" t="s">
        <v>681</v>
      </c>
      <c r="J18" s="11" t="s">
        <v>682</v>
      </c>
      <c r="K18" s="11"/>
      <c r="L18" s="11" t="s">
        <v>59</v>
      </c>
      <c r="M18" s="11" t="s">
        <v>60</v>
      </c>
      <c r="N18" s="11"/>
      <c r="O18" s="15"/>
      <c r="P18" s="11"/>
      <c r="Q18" s="7" t="str">
        <f aca="false">IF(B18="","",IF(SUBSTITUTE(SUBSTITUTE(D18," ",""),"|","")=B18,"OK","Split letters don't match"))</f>
        <v>OK</v>
      </c>
      <c r="R18" s="7" t="str">
        <f aca="false">IF(B18="","",IF(AND(M18="Approved",N18&lt;&gt;"",O18&lt;&gt;"",Q18="OK"),"Ready","Not yet"))</f>
        <v>Not yet</v>
      </c>
    </row>
    <row r="19" customFormat="false" ht="15" hidden="false" customHeight="true" outlineLevel="0" collapsed="false">
      <c r="A19" s="11" t="s">
        <v>1102</v>
      </c>
      <c r="B19" s="11" t="s">
        <v>638</v>
      </c>
      <c r="C19" s="11" t="s">
        <v>607</v>
      </c>
      <c r="D19" s="11" t="s">
        <v>639</v>
      </c>
      <c r="E19" s="11" t="s">
        <v>1078</v>
      </c>
      <c r="F19" s="11" t="s">
        <v>1103</v>
      </c>
      <c r="G19" s="11" t="s">
        <v>1104</v>
      </c>
      <c r="H19" s="11"/>
      <c r="I19" s="11" t="s">
        <v>641</v>
      </c>
      <c r="J19" s="11" t="s">
        <v>642</v>
      </c>
      <c r="K19" s="11"/>
      <c r="L19" s="11" t="s">
        <v>59</v>
      </c>
      <c r="M19" s="11" t="s">
        <v>60</v>
      </c>
      <c r="N19" s="11"/>
      <c r="O19" s="15"/>
      <c r="P19" s="11"/>
      <c r="Q19" s="7" t="str">
        <f aca="false">IF(B19="","",IF(SUBSTITUTE(SUBSTITUTE(D19," ",""),"|","")=B19,"OK","Split letters don't match"))</f>
        <v>OK</v>
      </c>
      <c r="R19" s="7" t="str">
        <f aca="false">IF(B19="","",IF(AND(M19="Approved",N19&lt;&gt;"",O19&lt;&gt;"",Q19="OK"),"Ready","Not yet"))</f>
        <v>Not yet</v>
      </c>
    </row>
    <row r="20" customFormat="false" ht="15" hidden="false" customHeight="true" outlineLevel="0" collapsed="false">
      <c r="A20" s="11" t="s">
        <v>1105</v>
      </c>
      <c r="B20" s="11" t="s">
        <v>643</v>
      </c>
      <c r="C20" s="11" t="s">
        <v>607</v>
      </c>
      <c r="D20" s="11" t="s">
        <v>644</v>
      </c>
      <c r="E20" s="11" t="s">
        <v>1078</v>
      </c>
      <c r="F20" s="11" t="s">
        <v>1106</v>
      </c>
      <c r="G20" s="11" t="s">
        <v>1107</v>
      </c>
      <c r="H20" s="11"/>
      <c r="I20" s="11" t="s">
        <v>646</v>
      </c>
      <c r="J20" s="11" t="s">
        <v>647</v>
      </c>
      <c r="K20" s="11"/>
      <c r="L20" s="11" t="s">
        <v>59</v>
      </c>
      <c r="M20" s="11" t="s">
        <v>60</v>
      </c>
      <c r="N20" s="11"/>
      <c r="O20" s="15"/>
      <c r="P20" s="11"/>
      <c r="Q20" s="7" t="str">
        <f aca="false">IF(B20="","",IF(SUBSTITUTE(SUBSTITUTE(D20," ",""),"|","")=B20,"OK","Split letters don't match"))</f>
        <v>OK</v>
      </c>
      <c r="R20" s="7" t="str">
        <f aca="false">IF(B20="","",IF(AND(M20="Approved",N20&lt;&gt;"",O20&lt;&gt;"",Q20="OK"),"Ready","Not yet"))</f>
        <v>Not yet</v>
      </c>
    </row>
    <row r="21" customFormat="false" ht="15" hidden="false" customHeight="true" outlineLevel="0" collapsed="false">
      <c r="A21" s="11" t="s">
        <v>1108</v>
      </c>
      <c r="B21" s="11" t="s">
        <v>658</v>
      </c>
      <c r="C21" s="11" t="s">
        <v>607</v>
      </c>
      <c r="D21" s="11" t="s">
        <v>659</v>
      </c>
      <c r="E21" s="11" t="s">
        <v>1078</v>
      </c>
      <c r="F21" s="11" t="s">
        <v>1109</v>
      </c>
      <c r="G21" s="11" t="s">
        <v>1110</v>
      </c>
      <c r="H21" s="11" t="s">
        <v>1111</v>
      </c>
      <c r="I21" s="11" t="s">
        <v>661</v>
      </c>
      <c r="J21" s="11" t="s">
        <v>662</v>
      </c>
      <c r="K21" s="11"/>
      <c r="L21" s="11" t="s">
        <v>59</v>
      </c>
      <c r="M21" s="11" t="s">
        <v>60</v>
      </c>
      <c r="N21" s="11"/>
      <c r="O21" s="15"/>
      <c r="P21" s="11"/>
      <c r="Q21" s="7" t="str">
        <f aca="false">IF(B21="","",IF(SUBSTITUTE(SUBSTITUTE(D21," ",""),"|","")=B21,"OK","Split letters don't match"))</f>
        <v>OK</v>
      </c>
      <c r="R21" s="7" t="str">
        <f aca="false">IF(B21="","",IF(AND(M21="Approved",N21&lt;&gt;"",O21&lt;&gt;"",Q21="OK"),"Ready","Not yet"))</f>
        <v>Not yet</v>
      </c>
    </row>
    <row r="22" customFormat="false" ht="15" hidden="false" customHeight="true" outlineLevel="0" collapsed="false">
      <c r="A22" s="11" t="s">
        <v>1112</v>
      </c>
      <c r="B22" s="11" t="s">
        <v>608</v>
      </c>
      <c r="C22" s="11" t="s">
        <v>607</v>
      </c>
      <c r="D22" s="11" t="s">
        <v>1113</v>
      </c>
      <c r="E22" s="11" t="s">
        <v>1078</v>
      </c>
      <c r="F22" s="11" t="s">
        <v>1114</v>
      </c>
      <c r="G22" s="11" t="s">
        <v>1115</v>
      </c>
      <c r="H22" s="11" t="s">
        <v>609</v>
      </c>
      <c r="I22" s="11" t="s">
        <v>611</v>
      </c>
      <c r="J22" s="11" t="s">
        <v>612</v>
      </c>
      <c r="K22" s="11"/>
      <c r="L22" s="11" t="s">
        <v>59</v>
      </c>
      <c r="M22" s="11" t="s">
        <v>60</v>
      </c>
      <c r="N22" s="11"/>
      <c r="O22" s="15"/>
      <c r="P22" s="11"/>
      <c r="Q22" s="7" t="str">
        <f aca="false">IF(B22="","",IF(SUBSTITUTE(SUBSTITUTE(D22," ",""),"|","")=B22,"OK","Split letters don't match"))</f>
        <v>OK</v>
      </c>
      <c r="R22" s="7" t="str">
        <f aca="false">IF(B22="","",IF(AND(M22="Approved",N22&lt;&gt;"",O22&lt;&gt;"",Q22="OK"),"Ready","Not yet"))</f>
        <v>Not yet</v>
      </c>
    </row>
    <row r="23" customFormat="false" ht="15" hidden="false" customHeight="true" outlineLevel="0" collapsed="false">
      <c r="A23" s="11" t="s">
        <v>1116</v>
      </c>
      <c r="B23" s="11" t="s">
        <v>1117</v>
      </c>
      <c r="C23" s="11" t="s">
        <v>607</v>
      </c>
      <c r="D23" s="11" t="s">
        <v>1118</v>
      </c>
      <c r="E23" s="11" t="s">
        <v>1078</v>
      </c>
      <c r="F23" s="11" t="s">
        <v>1119</v>
      </c>
      <c r="G23" s="11" t="s">
        <v>1120</v>
      </c>
      <c r="H23" s="11"/>
      <c r="I23" s="11" t="s">
        <v>1121</v>
      </c>
      <c r="J23" s="11" t="s">
        <v>1122</v>
      </c>
      <c r="K23" s="11"/>
      <c r="L23" s="11" t="s">
        <v>59</v>
      </c>
      <c r="M23" s="11" t="s">
        <v>60</v>
      </c>
      <c r="N23" s="11"/>
      <c r="O23" s="15"/>
      <c r="P23" s="11"/>
      <c r="Q23" s="7" t="str">
        <f aca="false">IF(B23="","",IF(SUBSTITUTE(SUBSTITUTE(D23," ",""),"|","")=B23,"OK","Split letters don't match"))</f>
        <v>OK</v>
      </c>
      <c r="R23" s="7" t="str">
        <f aca="false">IF(B23="","",IF(AND(M23="Approved",N23&lt;&gt;"",O23&lt;&gt;"",Q23="OK"),"Ready","Not yet"))</f>
        <v>Not yet</v>
      </c>
    </row>
    <row r="24" customFormat="false" ht="23.25" hidden="false" customHeight="true" outlineLevel="0" collapsed="false">
      <c r="A24" s="11" t="s">
        <v>1123</v>
      </c>
      <c r="B24" s="11" t="s">
        <v>684</v>
      </c>
      <c r="C24" s="11" t="s">
        <v>689</v>
      </c>
      <c r="D24" s="11" t="s">
        <v>685</v>
      </c>
      <c r="E24" s="11" t="s">
        <v>1124</v>
      </c>
      <c r="F24" s="11" t="s">
        <v>1125</v>
      </c>
      <c r="G24" s="11" t="s">
        <v>1126</v>
      </c>
      <c r="H24" s="11"/>
      <c r="I24" s="11" t="s">
        <v>1127</v>
      </c>
      <c r="J24" s="11" t="s">
        <v>688</v>
      </c>
      <c r="K24" s="11" t="s">
        <v>1128</v>
      </c>
      <c r="L24" s="11" t="s">
        <v>59</v>
      </c>
      <c r="M24" s="11" t="s">
        <v>60</v>
      </c>
      <c r="N24" s="11"/>
      <c r="O24" s="15"/>
      <c r="P24" s="11"/>
      <c r="Q24" s="7" t="str">
        <f aca="false">IF(B24="","",IF(SUBSTITUTE(SUBSTITUTE(D24," ",""),"|","")=B24,"OK","Split letters don't match"))</f>
        <v>OK</v>
      </c>
      <c r="R24" s="7" t="str">
        <f aca="false">IF(B24="","",IF(AND(M24="Approved",N24&lt;&gt;"",O24&lt;&gt;"",Q24="OK"),"Ready","Not yet"))</f>
        <v>Not yet</v>
      </c>
    </row>
    <row r="25" customFormat="false" ht="23.25" hidden="false" customHeight="true" outlineLevel="0" collapsed="false">
      <c r="A25" s="11" t="s">
        <v>1129</v>
      </c>
      <c r="B25" s="11" t="s">
        <v>700</v>
      </c>
      <c r="C25" s="11" t="s">
        <v>689</v>
      </c>
      <c r="D25" s="11" t="s">
        <v>701</v>
      </c>
      <c r="E25" s="11" t="s">
        <v>1130</v>
      </c>
      <c r="F25" s="11" t="s">
        <v>1131</v>
      </c>
      <c r="G25" s="11" t="s">
        <v>1132</v>
      </c>
      <c r="H25" s="11"/>
      <c r="I25" s="11" t="s">
        <v>1133</v>
      </c>
      <c r="J25" s="11" t="s">
        <v>704</v>
      </c>
      <c r="K25" s="11"/>
      <c r="L25" s="11" t="s">
        <v>59</v>
      </c>
      <c r="M25" s="11" t="s">
        <v>60</v>
      </c>
      <c r="N25" s="11"/>
      <c r="O25" s="15"/>
      <c r="P25" s="11"/>
      <c r="Q25" s="7" t="str">
        <f aca="false">IF(B25="","",IF(SUBSTITUTE(SUBSTITUTE(D25," ",""),"|","")=B25,"OK","Split letters don't match"))</f>
        <v>OK</v>
      </c>
      <c r="R25" s="7" t="str">
        <f aca="false">IF(B25="","",IF(AND(M25="Approved",N25&lt;&gt;"",O25&lt;&gt;"",Q25="OK"),"Ready","Not yet"))</f>
        <v>Not yet</v>
      </c>
    </row>
    <row r="26" customFormat="false" ht="23.25" hidden="false" customHeight="true" outlineLevel="0" collapsed="false">
      <c r="A26" s="11" t="s">
        <v>1134</v>
      </c>
      <c r="B26" s="11" t="s">
        <v>690</v>
      </c>
      <c r="C26" s="11" t="s">
        <v>689</v>
      </c>
      <c r="D26" s="11" t="s">
        <v>691</v>
      </c>
      <c r="E26" s="11" t="s">
        <v>1124</v>
      </c>
      <c r="F26" s="11" t="s">
        <v>1135</v>
      </c>
      <c r="G26" s="11" t="s">
        <v>1136</v>
      </c>
      <c r="H26" s="11"/>
      <c r="I26" s="11" t="s">
        <v>693</v>
      </c>
      <c r="J26" s="11" t="s">
        <v>694</v>
      </c>
      <c r="K26" s="11"/>
      <c r="L26" s="11" t="s">
        <v>59</v>
      </c>
      <c r="M26" s="11" t="s">
        <v>60</v>
      </c>
      <c r="N26" s="11"/>
      <c r="O26" s="15"/>
      <c r="P26" s="11"/>
      <c r="Q26" s="7" t="str">
        <f aca="false">IF(B26="","",IF(SUBSTITUTE(SUBSTITUTE(D26," ",""),"|","")=B26,"OK","Split letters don't match"))</f>
        <v>OK</v>
      </c>
      <c r="R26" s="7" t="str">
        <f aca="false">IF(B26="","",IF(AND(M26="Approved",N26&lt;&gt;"",O26&lt;&gt;"",Q26="OK"),"Ready","Not yet"))</f>
        <v>Not yet</v>
      </c>
    </row>
    <row r="27" customFormat="false" ht="23.25" hidden="false" customHeight="true" outlineLevel="0" collapsed="false">
      <c r="A27" s="11" t="s">
        <v>1137</v>
      </c>
      <c r="B27" s="11" t="s">
        <v>457</v>
      </c>
      <c r="C27" s="11" t="s">
        <v>689</v>
      </c>
      <c r="D27" s="11" t="s">
        <v>1138</v>
      </c>
      <c r="E27" s="11" t="s">
        <v>1124</v>
      </c>
      <c r="F27" s="11" t="s">
        <v>1139</v>
      </c>
      <c r="G27" s="11" t="s">
        <v>1140</v>
      </c>
      <c r="H27" s="11"/>
      <c r="I27" s="11" t="s">
        <v>460</v>
      </c>
      <c r="J27" s="11" t="s">
        <v>461</v>
      </c>
      <c r="K27" s="11" t="s">
        <v>1141</v>
      </c>
      <c r="L27" s="11" t="s">
        <v>59</v>
      </c>
      <c r="M27" s="11" t="s">
        <v>60</v>
      </c>
      <c r="N27" s="11"/>
      <c r="O27" s="15"/>
      <c r="P27" s="11"/>
      <c r="Q27" s="7" t="str">
        <f aca="false">IF(B27="","",IF(SUBSTITUTE(SUBSTITUTE(D27," ",""),"|","")=B27,"OK","Split letters don't match"))</f>
        <v>OK</v>
      </c>
      <c r="R27" s="7" t="str">
        <f aca="false">IF(B27="","",IF(AND(M27="Approved",N27&lt;&gt;"",O27&lt;&gt;"",Q27="OK"),"Ready","Not yet"))</f>
        <v>Not yet</v>
      </c>
    </row>
    <row r="28" customFormat="false" ht="23.25" hidden="false" customHeight="true" outlineLevel="0" collapsed="false">
      <c r="A28" s="11" t="s">
        <v>1142</v>
      </c>
      <c r="B28" s="11" t="s">
        <v>1143</v>
      </c>
      <c r="C28" s="11" t="s">
        <v>689</v>
      </c>
      <c r="D28" s="11" t="s">
        <v>1144</v>
      </c>
      <c r="E28" s="11" t="s">
        <v>1130</v>
      </c>
      <c r="F28" s="11" t="s">
        <v>1145</v>
      </c>
      <c r="G28" s="11" t="s">
        <v>1146</v>
      </c>
      <c r="H28" s="11"/>
      <c r="I28" s="11" t="s">
        <v>1147</v>
      </c>
      <c r="J28" s="11" t="s">
        <v>1148</v>
      </c>
      <c r="K28" s="11"/>
      <c r="L28" s="11" t="s">
        <v>59</v>
      </c>
      <c r="M28" s="11" t="s">
        <v>60</v>
      </c>
      <c r="N28" s="11"/>
      <c r="O28" s="15"/>
      <c r="P28" s="11"/>
      <c r="Q28" s="7" t="str">
        <f aca="false">IF(B28="","",IF(SUBSTITUTE(SUBSTITUTE(D28," ",""),"|","")=B28,"OK","Split letters don't match"))</f>
        <v>OK</v>
      </c>
      <c r="R28" s="7" t="str">
        <f aca="false">IF(B28="","",IF(AND(M28="Approved",N28&lt;&gt;"",O28&lt;&gt;"",Q28="OK"),"Ready","Not yet"))</f>
        <v>Not yet</v>
      </c>
    </row>
    <row r="29" customFormat="false" ht="23.25" hidden="false" customHeight="true" outlineLevel="0" collapsed="false">
      <c r="A29" s="11" t="s">
        <v>1149</v>
      </c>
      <c r="B29" s="11" t="s">
        <v>1150</v>
      </c>
      <c r="C29" s="11" t="s">
        <v>689</v>
      </c>
      <c r="D29" s="11" t="s">
        <v>1151</v>
      </c>
      <c r="E29" s="11" t="s">
        <v>1124</v>
      </c>
      <c r="F29" s="11" t="s">
        <v>1152</v>
      </c>
      <c r="G29" s="11" t="s">
        <v>1153</v>
      </c>
      <c r="H29" s="11"/>
      <c r="I29" s="11" t="s">
        <v>1154</v>
      </c>
      <c r="J29" s="11" t="s">
        <v>1155</v>
      </c>
      <c r="K29" s="11"/>
      <c r="L29" s="11" t="s">
        <v>59</v>
      </c>
      <c r="M29" s="11" t="s">
        <v>60</v>
      </c>
      <c r="N29" s="11"/>
      <c r="O29" s="15"/>
      <c r="P29" s="11"/>
      <c r="Q29" s="7" t="str">
        <f aca="false">IF(B29="","",IF(SUBSTITUTE(SUBSTITUTE(D29," ",""),"|","")=B29,"OK","Split letters don't match"))</f>
        <v>OK</v>
      </c>
      <c r="R29" s="7" t="str">
        <f aca="false">IF(B29="","",IF(AND(M29="Approved",N29&lt;&gt;"",O29&lt;&gt;"",Q29="OK"),"Ready","Not yet"))</f>
        <v>Not yet</v>
      </c>
    </row>
    <row r="30" customFormat="false" ht="23.25" hidden="false" customHeight="true" outlineLevel="0" collapsed="false">
      <c r="A30" s="11" t="s">
        <v>1156</v>
      </c>
      <c r="B30" s="11" t="s">
        <v>1157</v>
      </c>
      <c r="C30" s="11" t="s">
        <v>689</v>
      </c>
      <c r="D30" s="11" t="s">
        <v>1158</v>
      </c>
      <c r="E30" s="11" t="s">
        <v>1159</v>
      </c>
      <c r="F30" s="11" t="s">
        <v>1160</v>
      </c>
      <c r="G30" s="11" t="s">
        <v>1161</v>
      </c>
      <c r="H30" s="11"/>
      <c r="I30" s="11" t="s">
        <v>1162</v>
      </c>
      <c r="J30" s="11" t="s">
        <v>1163</v>
      </c>
      <c r="K30" s="11"/>
      <c r="L30" s="11" t="s">
        <v>59</v>
      </c>
      <c r="M30" s="11" t="s">
        <v>60</v>
      </c>
      <c r="N30" s="11"/>
      <c r="O30" s="15"/>
      <c r="P30" s="11"/>
      <c r="Q30" s="7" t="str">
        <f aca="false">IF(B30="","",IF(SUBSTITUTE(SUBSTITUTE(D30," ",""),"|","")=B30,"OK","Split letters don't match"))</f>
        <v>OK</v>
      </c>
      <c r="R30" s="7" t="str">
        <f aca="false">IF(B30="","",IF(AND(M30="Approved",N30&lt;&gt;"",O30&lt;&gt;"",Q30="OK"),"Ready","Not yet"))</f>
        <v>Not yet</v>
      </c>
    </row>
    <row r="31" customFormat="false" ht="34.5" hidden="false" customHeight="true" outlineLevel="0" collapsed="false">
      <c r="A31" s="11" t="s">
        <v>1164</v>
      </c>
      <c r="B31" s="11" t="s">
        <v>1165</v>
      </c>
      <c r="C31" s="11" t="s">
        <v>689</v>
      </c>
      <c r="D31" s="11" t="s">
        <v>1166</v>
      </c>
      <c r="E31" s="11" t="s">
        <v>1167</v>
      </c>
      <c r="F31" s="11" t="s">
        <v>1168</v>
      </c>
      <c r="G31" s="11" t="s">
        <v>1169</v>
      </c>
      <c r="H31" s="11"/>
      <c r="I31" s="11" t="s">
        <v>1170</v>
      </c>
      <c r="J31" s="11" t="s">
        <v>1171</v>
      </c>
      <c r="K31" s="11"/>
      <c r="L31" s="11" t="s">
        <v>59</v>
      </c>
      <c r="M31" s="11" t="s">
        <v>60</v>
      </c>
      <c r="N31" s="11"/>
      <c r="O31" s="15"/>
      <c r="P31" s="11"/>
      <c r="Q31" s="7" t="str">
        <f aca="false">IF(B31="","",IF(SUBSTITUTE(SUBSTITUTE(D31," ",""),"|","")=B31,"OK","Split letters don't match"))</f>
        <v>OK</v>
      </c>
      <c r="R31" s="7" t="str">
        <f aca="false">IF(B31="","",IF(AND(M31="Approved",N31&lt;&gt;"",O31&lt;&gt;"",Q31="OK"),"Ready","Not yet"))</f>
        <v>Not yet</v>
      </c>
    </row>
    <row r="32" customFormat="false" ht="15" hidden="false" customHeight="true" outlineLevel="0" collapsed="false">
      <c r="A32" s="11"/>
      <c r="B32" s="11"/>
      <c r="C32" s="11"/>
      <c r="D32" s="11"/>
      <c r="E32" s="11"/>
      <c r="F32" s="11"/>
      <c r="G32" s="11"/>
      <c r="H32" s="11"/>
      <c r="I32" s="11"/>
      <c r="J32" s="11"/>
      <c r="K32" s="11"/>
      <c r="L32" s="11"/>
      <c r="M32" s="11"/>
      <c r="N32" s="11"/>
      <c r="O32" s="15"/>
      <c r="P32" s="11"/>
      <c r="Q32" s="7" t="str">
        <f aca="false">IF(B32="","",IF(SUBSTITUTE(SUBSTITUTE(D32," ",""),"|","")=B32,"OK","Split letters don't match"))</f>
        <v/>
      </c>
      <c r="R32" s="7" t="str">
        <f aca="false">IF(B32="","",IF(AND(M32="Approved",N32&lt;&gt;"",O32&lt;&gt;"",Q32="OK"),"Ready","Not yet"))</f>
        <v/>
      </c>
    </row>
    <row r="33" customFormat="false" ht="15" hidden="false" customHeight="true" outlineLevel="0" collapsed="false">
      <c r="A33" s="11"/>
      <c r="B33" s="11"/>
      <c r="C33" s="11"/>
      <c r="D33" s="11"/>
      <c r="E33" s="11"/>
      <c r="F33" s="11"/>
      <c r="G33" s="11"/>
      <c r="H33" s="11"/>
      <c r="I33" s="11"/>
      <c r="J33" s="11"/>
      <c r="K33" s="11"/>
      <c r="L33" s="11"/>
      <c r="M33" s="11"/>
      <c r="N33" s="11"/>
      <c r="O33" s="15"/>
      <c r="P33" s="11"/>
      <c r="Q33" s="7" t="str">
        <f aca="false">IF(B33="","",IF(SUBSTITUTE(SUBSTITUTE(D33," ",""),"|","")=B33,"OK","Split letters don't match"))</f>
        <v/>
      </c>
      <c r="R33" s="7" t="str">
        <f aca="false">IF(B33="","",IF(AND(M33="Approved",N33&lt;&gt;"",O33&lt;&gt;"",Q33="OK"),"Ready","Not yet"))</f>
        <v/>
      </c>
    </row>
    <row r="34" customFormat="false" ht="15" hidden="false" customHeight="true" outlineLevel="0" collapsed="false">
      <c r="A34" s="11"/>
      <c r="B34" s="11"/>
      <c r="C34" s="11"/>
      <c r="D34" s="11"/>
      <c r="E34" s="11"/>
      <c r="F34" s="11"/>
      <c r="G34" s="11"/>
      <c r="H34" s="11"/>
      <c r="I34" s="11"/>
      <c r="J34" s="11"/>
      <c r="K34" s="11"/>
      <c r="L34" s="11"/>
      <c r="M34" s="11"/>
      <c r="N34" s="11"/>
      <c r="O34" s="15"/>
      <c r="P34" s="11"/>
      <c r="Q34" s="7" t="str">
        <f aca="false">IF(B34="","",IF(SUBSTITUTE(SUBSTITUTE(D34," ",""),"|","")=B34,"OK","Split letters don't match"))</f>
        <v/>
      </c>
      <c r="R34" s="7" t="str">
        <f aca="false">IF(B34="","",IF(AND(M34="Approved",N34&lt;&gt;"",O34&lt;&gt;"",Q34="OK"),"Ready","Not yet"))</f>
        <v/>
      </c>
    </row>
    <row r="35" customFormat="false" ht="15" hidden="false" customHeight="true" outlineLevel="0" collapsed="false">
      <c r="A35" s="11"/>
      <c r="B35" s="11"/>
      <c r="C35" s="11"/>
      <c r="D35" s="11"/>
      <c r="E35" s="11"/>
      <c r="F35" s="11"/>
      <c r="G35" s="11"/>
      <c r="H35" s="11"/>
      <c r="I35" s="11"/>
      <c r="J35" s="11"/>
      <c r="K35" s="11"/>
      <c r="L35" s="11"/>
      <c r="M35" s="11"/>
      <c r="N35" s="11"/>
      <c r="O35" s="15"/>
      <c r="P35" s="11"/>
      <c r="Q35" s="7" t="str">
        <f aca="false">IF(B35="","",IF(SUBSTITUTE(SUBSTITUTE(D35," ",""),"|","")=B35,"OK","Split letters don't match"))</f>
        <v/>
      </c>
      <c r="R35" s="7" t="str">
        <f aca="false">IF(B35="","",IF(AND(M35="Approved",N35&lt;&gt;"",O35&lt;&gt;"",Q35="OK"),"Ready","Not yet"))</f>
        <v/>
      </c>
    </row>
    <row r="36" customFormat="false" ht="15" hidden="false" customHeight="true" outlineLevel="0" collapsed="false">
      <c r="A36" s="11"/>
      <c r="B36" s="11"/>
      <c r="C36" s="11"/>
      <c r="D36" s="11"/>
      <c r="E36" s="11"/>
      <c r="F36" s="11"/>
      <c r="G36" s="11"/>
      <c r="H36" s="11"/>
      <c r="I36" s="11"/>
      <c r="J36" s="11"/>
      <c r="K36" s="11"/>
      <c r="L36" s="11"/>
      <c r="M36" s="11"/>
      <c r="N36" s="11"/>
      <c r="O36" s="15"/>
      <c r="P36" s="11"/>
      <c r="Q36" s="7" t="str">
        <f aca="false">IF(B36="","",IF(SUBSTITUTE(SUBSTITUTE(D36," ",""),"|","")=B36,"OK","Split letters don't match"))</f>
        <v/>
      </c>
      <c r="R36" s="7" t="str">
        <f aca="false">IF(B36="","",IF(AND(M36="Approved",N36&lt;&gt;"",O36&lt;&gt;"",Q36="OK"),"Ready","Not yet"))</f>
        <v/>
      </c>
    </row>
    <row r="37" customFormat="false" ht="15" hidden="false" customHeight="true" outlineLevel="0" collapsed="false">
      <c r="A37" s="11"/>
      <c r="B37" s="11"/>
      <c r="C37" s="11"/>
      <c r="D37" s="11"/>
      <c r="E37" s="11"/>
      <c r="F37" s="11"/>
      <c r="G37" s="11"/>
      <c r="H37" s="11"/>
      <c r="I37" s="11"/>
      <c r="J37" s="11"/>
      <c r="K37" s="11"/>
      <c r="L37" s="11"/>
      <c r="M37" s="11"/>
      <c r="N37" s="11"/>
      <c r="O37" s="15"/>
      <c r="P37" s="11"/>
      <c r="Q37" s="7" t="str">
        <f aca="false">IF(B37="","",IF(SUBSTITUTE(SUBSTITUTE(D37," ",""),"|","")=B37,"OK","Split letters don't match"))</f>
        <v/>
      </c>
      <c r="R37" s="7" t="str">
        <f aca="false">IF(B37="","",IF(AND(M37="Approved",N37&lt;&gt;"",O37&lt;&gt;"",Q37="OK"),"Ready","Not yet"))</f>
        <v/>
      </c>
    </row>
    <row r="38" customFormat="false" ht="15" hidden="false" customHeight="true" outlineLevel="0" collapsed="false">
      <c r="A38" s="11"/>
      <c r="B38" s="11"/>
      <c r="C38" s="11"/>
      <c r="D38" s="11"/>
      <c r="E38" s="11"/>
      <c r="F38" s="11"/>
      <c r="G38" s="11"/>
      <c r="H38" s="11"/>
      <c r="I38" s="11"/>
      <c r="J38" s="11"/>
      <c r="K38" s="11"/>
      <c r="L38" s="11"/>
      <c r="M38" s="11"/>
      <c r="N38" s="11"/>
      <c r="O38" s="15"/>
      <c r="P38" s="11"/>
      <c r="Q38" s="7" t="str">
        <f aca="false">IF(B38="","",IF(SUBSTITUTE(SUBSTITUTE(D38," ",""),"|","")=B38,"OK","Split letters don't match"))</f>
        <v/>
      </c>
      <c r="R38" s="7" t="str">
        <f aca="false">IF(B38="","",IF(AND(M38="Approved",N38&lt;&gt;"",O38&lt;&gt;"",Q38="OK"),"Ready","Not yet"))</f>
        <v/>
      </c>
    </row>
    <row r="39" customFormat="false" ht="15" hidden="false" customHeight="true" outlineLevel="0" collapsed="false">
      <c r="A39" s="11"/>
      <c r="B39" s="11"/>
      <c r="C39" s="11"/>
      <c r="D39" s="11"/>
      <c r="E39" s="11"/>
      <c r="F39" s="11"/>
      <c r="G39" s="11"/>
      <c r="H39" s="11"/>
      <c r="I39" s="11"/>
      <c r="J39" s="11"/>
      <c r="K39" s="11"/>
      <c r="L39" s="11"/>
      <c r="M39" s="11"/>
      <c r="N39" s="11"/>
      <c r="O39" s="15"/>
      <c r="P39" s="11"/>
      <c r="Q39" s="7" t="str">
        <f aca="false">IF(B39="","",IF(SUBSTITUTE(SUBSTITUTE(D39," ",""),"|","")=B39,"OK","Split letters don't match"))</f>
        <v/>
      </c>
      <c r="R39" s="7" t="str">
        <f aca="false">IF(B39="","",IF(AND(M39="Approved",N39&lt;&gt;"",O39&lt;&gt;"",Q39="OK"),"Ready","Not yet"))</f>
        <v/>
      </c>
    </row>
    <row r="40" customFormat="false" ht="15" hidden="false" customHeight="true" outlineLevel="0" collapsed="false">
      <c r="A40" s="11"/>
      <c r="B40" s="11"/>
      <c r="C40" s="11"/>
      <c r="D40" s="11"/>
      <c r="E40" s="11"/>
      <c r="F40" s="11"/>
      <c r="G40" s="11"/>
      <c r="H40" s="11"/>
      <c r="I40" s="11"/>
      <c r="J40" s="11"/>
      <c r="K40" s="11"/>
      <c r="L40" s="11"/>
      <c r="M40" s="11"/>
      <c r="N40" s="11"/>
      <c r="O40" s="15"/>
      <c r="P40" s="11"/>
      <c r="Q40" s="7" t="str">
        <f aca="false">IF(B40="","",IF(SUBSTITUTE(SUBSTITUTE(D40," ",""),"|","")=B40,"OK","Split letters don't match"))</f>
        <v/>
      </c>
      <c r="R40" s="7" t="str">
        <f aca="false">IF(B40="","",IF(AND(M40="Approved",N40&lt;&gt;"",O40&lt;&gt;"",Q40="OK"),"Ready","Not yet"))</f>
        <v/>
      </c>
    </row>
    <row r="41" customFormat="false" ht="15" hidden="false" customHeight="true" outlineLevel="0" collapsed="false">
      <c r="A41" s="11"/>
      <c r="B41" s="11"/>
      <c r="C41" s="11"/>
      <c r="D41" s="11"/>
      <c r="E41" s="11"/>
      <c r="F41" s="11"/>
      <c r="G41" s="11"/>
      <c r="H41" s="11"/>
      <c r="I41" s="11"/>
      <c r="J41" s="11"/>
      <c r="K41" s="11"/>
      <c r="L41" s="11"/>
      <c r="M41" s="11"/>
      <c r="N41" s="11"/>
      <c r="O41" s="15"/>
      <c r="P41" s="11"/>
      <c r="Q41" s="7" t="str">
        <f aca="false">IF(B41="","",IF(SUBSTITUTE(SUBSTITUTE(D41," ",""),"|","")=B41,"OK","Split letters don't match"))</f>
        <v/>
      </c>
      <c r="R41" s="7" t="str">
        <f aca="false">IF(B41="","",IF(AND(M41="Approved",N41&lt;&gt;"",O41&lt;&gt;"",Q41="OK"),"Ready","Not yet"))</f>
        <v/>
      </c>
    </row>
    <row r="42" customFormat="false" ht="15" hidden="false" customHeight="true" outlineLevel="0" collapsed="false">
      <c r="A42" s="11"/>
      <c r="B42" s="11"/>
      <c r="C42" s="11"/>
      <c r="D42" s="11"/>
      <c r="E42" s="11"/>
      <c r="F42" s="11"/>
      <c r="G42" s="11"/>
      <c r="H42" s="11"/>
      <c r="I42" s="11"/>
      <c r="J42" s="11"/>
      <c r="K42" s="11"/>
      <c r="L42" s="11"/>
      <c r="M42" s="11"/>
      <c r="N42" s="11"/>
      <c r="O42" s="15"/>
      <c r="P42" s="11"/>
      <c r="Q42" s="7" t="str">
        <f aca="false">IF(B42="","",IF(SUBSTITUTE(SUBSTITUTE(D42," ",""),"|","")=B42,"OK","Split letters don't match"))</f>
        <v/>
      </c>
      <c r="R42" s="7" t="str">
        <f aca="false">IF(B42="","",IF(AND(M42="Approved",N42&lt;&gt;"",O42&lt;&gt;"",Q42="OK"),"Ready","Not yet"))</f>
        <v/>
      </c>
    </row>
    <row r="43" customFormat="false" ht="15" hidden="false" customHeight="true" outlineLevel="0" collapsed="false">
      <c r="A43" s="11"/>
      <c r="B43" s="11"/>
      <c r="C43" s="11"/>
      <c r="D43" s="11"/>
      <c r="E43" s="11"/>
      <c r="F43" s="11"/>
      <c r="G43" s="11"/>
      <c r="H43" s="11"/>
      <c r="I43" s="11"/>
      <c r="J43" s="11"/>
      <c r="K43" s="11"/>
      <c r="L43" s="11"/>
      <c r="M43" s="11"/>
      <c r="N43" s="11"/>
      <c r="O43" s="15"/>
      <c r="P43" s="11"/>
      <c r="Q43" s="7" t="str">
        <f aca="false">IF(B43="","",IF(SUBSTITUTE(SUBSTITUTE(D43," ",""),"|","")=B43,"OK","Split letters don't match"))</f>
        <v/>
      </c>
      <c r="R43" s="7" t="str">
        <f aca="false">IF(B43="","",IF(AND(M43="Approved",N43&lt;&gt;"",O43&lt;&gt;"",Q43="OK"),"Ready","Not yet"))</f>
        <v/>
      </c>
    </row>
    <row r="44" customFormat="false" ht="15" hidden="false" customHeight="true" outlineLevel="0" collapsed="false">
      <c r="A44" s="11"/>
      <c r="B44" s="11"/>
      <c r="C44" s="11"/>
      <c r="D44" s="11"/>
      <c r="E44" s="11"/>
      <c r="F44" s="11"/>
      <c r="G44" s="11"/>
      <c r="H44" s="11"/>
      <c r="I44" s="11"/>
      <c r="J44" s="11"/>
      <c r="K44" s="11"/>
      <c r="L44" s="11"/>
      <c r="M44" s="11"/>
      <c r="N44" s="11"/>
      <c r="O44" s="15"/>
      <c r="P44" s="11"/>
      <c r="Q44" s="7" t="str">
        <f aca="false">IF(B44="","",IF(SUBSTITUTE(SUBSTITUTE(D44," ",""),"|","")=B44,"OK","Split letters don't match"))</f>
        <v/>
      </c>
      <c r="R44" s="7" t="str">
        <f aca="false">IF(B44="","",IF(AND(M44="Approved",N44&lt;&gt;"",O44&lt;&gt;"",Q44="OK"),"Ready","Not yet"))</f>
        <v/>
      </c>
    </row>
    <row r="45" customFormat="false" ht="15" hidden="false" customHeight="true" outlineLevel="0" collapsed="false">
      <c r="A45" s="11"/>
      <c r="B45" s="11"/>
      <c r="C45" s="11"/>
      <c r="D45" s="11"/>
      <c r="E45" s="11"/>
      <c r="F45" s="11"/>
      <c r="G45" s="11"/>
      <c r="H45" s="11"/>
      <c r="I45" s="11"/>
      <c r="J45" s="11"/>
      <c r="K45" s="11"/>
      <c r="L45" s="11"/>
      <c r="M45" s="11"/>
      <c r="N45" s="11"/>
      <c r="O45" s="15"/>
      <c r="P45" s="11"/>
      <c r="Q45" s="7" t="str">
        <f aca="false">IF(B45="","",IF(SUBSTITUTE(SUBSTITUTE(D45," ",""),"|","")=B45,"OK","Split letters don't match"))</f>
        <v/>
      </c>
      <c r="R45" s="7" t="str">
        <f aca="false">IF(B45="","",IF(AND(M45="Approved",N45&lt;&gt;"",O45&lt;&gt;"",Q45="OK"),"Ready","Not yet"))</f>
        <v/>
      </c>
    </row>
    <row r="46" customFormat="false" ht="15" hidden="false" customHeight="true" outlineLevel="0" collapsed="false">
      <c r="A46" s="11"/>
      <c r="B46" s="11"/>
      <c r="C46" s="11"/>
      <c r="D46" s="11"/>
      <c r="E46" s="11"/>
      <c r="F46" s="11"/>
      <c r="G46" s="11"/>
      <c r="H46" s="11"/>
      <c r="I46" s="11"/>
      <c r="J46" s="11"/>
      <c r="K46" s="11"/>
      <c r="L46" s="11"/>
      <c r="M46" s="11"/>
      <c r="N46" s="11"/>
      <c r="O46" s="15"/>
      <c r="P46" s="11"/>
      <c r="Q46" s="7" t="str">
        <f aca="false">IF(B46="","",IF(SUBSTITUTE(SUBSTITUTE(D46," ",""),"|","")=B46,"OK","Split letters don't match"))</f>
        <v/>
      </c>
      <c r="R46" s="7" t="str">
        <f aca="false">IF(B46="","",IF(AND(M46="Approved",N46&lt;&gt;"",O46&lt;&gt;"",Q46="OK"),"Ready","Not yet"))</f>
        <v/>
      </c>
    </row>
    <row r="47" customFormat="false" ht="15" hidden="false" customHeight="true" outlineLevel="0" collapsed="false">
      <c r="A47" s="11"/>
      <c r="B47" s="11"/>
      <c r="C47" s="11"/>
      <c r="D47" s="11"/>
      <c r="E47" s="11"/>
      <c r="F47" s="11"/>
      <c r="G47" s="11"/>
      <c r="H47" s="11"/>
      <c r="I47" s="11"/>
      <c r="J47" s="11"/>
      <c r="K47" s="11"/>
      <c r="L47" s="11"/>
      <c r="M47" s="11"/>
      <c r="N47" s="11"/>
      <c r="O47" s="15"/>
      <c r="P47" s="11"/>
      <c r="Q47" s="7" t="str">
        <f aca="false">IF(B47="","",IF(SUBSTITUTE(SUBSTITUTE(D47," ",""),"|","")=B47,"OK","Split letters don't match"))</f>
        <v/>
      </c>
      <c r="R47" s="7" t="str">
        <f aca="false">IF(B47="","",IF(AND(M47="Approved",N47&lt;&gt;"",O47&lt;&gt;"",Q47="OK"),"Ready","Not yet"))</f>
        <v/>
      </c>
    </row>
    <row r="48" customFormat="false" ht="15" hidden="false" customHeight="true" outlineLevel="0" collapsed="false">
      <c r="A48" s="11"/>
      <c r="B48" s="11"/>
      <c r="C48" s="11"/>
      <c r="D48" s="11"/>
      <c r="E48" s="11"/>
      <c r="F48" s="11"/>
      <c r="G48" s="11"/>
      <c r="H48" s="11"/>
      <c r="I48" s="11"/>
      <c r="J48" s="11"/>
      <c r="K48" s="11"/>
      <c r="L48" s="11"/>
      <c r="M48" s="11"/>
      <c r="N48" s="11"/>
      <c r="O48" s="15"/>
      <c r="P48" s="11"/>
      <c r="Q48" s="7" t="str">
        <f aca="false">IF(B48="","",IF(SUBSTITUTE(SUBSTITUTE(D48," ",""),"|","")=B48,"OK","Split letters don't match"))</f>
        <v/>
      </c>
      <c r="R48" s="7" t="str">
        <f aca="false">IF(B48="","",IF(AND(M48="Approved",N48&lt;&gt;"",O48&lt;&gt;"",Q48="OK"),"Ready","Not yet"))</f>
        <v/>
      </c>
    </row>
    <row r="49" customFormat="false" ht="15" hidden="false" customHeight="true" outlineLevel="0" collapsed="false">
      <c r="A49" s="11"/>
      <c r="B49" s="11"/>
      <c r="C49" s="11"/>
      <c r="D49" s="11"/>
      <c r="E49" s="11"/>
      <c r="F49" s="11"/>
      <c r="G49" s="11"/>
      <c r="H49" s="11"/>
      <c r="I49" s="11"/>
      <c r="J49" s="11"/>
      <c r="K49" s="11"/>
      <c r="L49" s="11"/>
      <c r="M49" s="11"/>
      <c r="N49" s="11"/>
      <c r="O49" s="15"/>
      <c r="P49" s="11"/>
      <c r="Q49" s="7" t="str">
        <f aca="false">IF(B49="","",IF(SUBSTITUTE(SUBSTITUTE(D49," ",""),"|","")=B49,"OK","Split letters don't match"))</f>
        <v/>
      </c>
      <c r="R49" s="7" t="str">
        <f aca="false">IF(B49="","",IF(AND(M49="Approved",N49&lt;&gt;"",O49&lt;&gt;"",Q49="OK"),"Ready","Not yet"))</f>
        <v/>
      </c>
    </row>
    <row r="50" customFormat="false" ht="15" hidden="false" customHeight="true" outlineLevel="0" collapsed="false">
      <c r="A50" s="11"/>
      <c r="B50" s="11"/>
      <c r="C50" s="11"/>
      <c r="D50" s="11"/>
      <c r="E50" s="11"/>
      <c r="F50" s="11"/>
      <c r="G50" s="11"/>
      <c r="H50" s="11"/>
      <c r="I50" s="11"/>
      <c r="J50" s="11"/>
      <c r="K50" s="11"/>
      <c r="L50" s="11"/>
      <c r="M50" s="11"/>
      <c r="N50" s="11"/>
      <c r="O50" s="15"/>
      <c r="P50" s="11"/>
      <c r="Q50" s="7" t="str">
        <f aca="false">IF(B50="","",IF(SUBSTITUTE(SUBSTITUTE(D50," ",""),"|","")=B50,"OK","Split letters don't match"))</f>
        <v/>
      </c>
      <c r="R50" s="7" t="str">
        <f aca="false">IF(B50="","",IF(AND(M50="Approved",N50&lt;&gt;"",O50&lt;&gt;"",Q50="OK"),"Ready","Not yet"))</f>
        <v/>
      </c>
    </row>
    <row r="51" customFormat="false" ht="15" hidden="false" customHeight="true" outlineLevel="0" collapsed="false">
      <c r="A51" s="11"/>
      <c r="B51" s="11"/>
      <c r="C51" s="11"/>
      <c r="D51" s="11"/>
      <c r="E51" s="11"/>
      <c r="F51" s="11"/>
      <c r="G51" s="11"/>
      <c r="H51" s="11"/>
      <c r="I51" s="11"/>
      <c r="J51" s="11"/>
      <c r="K51" s="11"/>
      <c r="L51" s="11"/>
      <c r="M51" s="11"/>
      <c r="N51" s="11"/>
      <c r="O51" s="15"/>
      <c r="P51" s="11"/>
      <c r="Q51" s="7" t="str">
        <f aca="false">IF(B51="","",IF(SUBSTITUTE(SUBSTITUTE(D51," ",""),"|","")=B51,"OK","Split letters don't match"))</f>
        <v/>
      </c>
      <c r="R51" s="7" t="str">
        <f aca="false">IF(B51="","",IF(AND(M51="Approved",N51&lt;&gt;"",O51&lt;&gt;"",Q51="OK"),"Ready","Not yet"))</f>
        <v/>
      </c>
    </row>
    <row r="52" customFormat="false" ht="15" hidden="false" customHeight="true" outlineLevel="0" collapsed="false">
      <c r="A52" s="11"/>
      <c r="B52" s="11"/>
      <c r="C52" s="11"/>
      <c r="D52" s="11"/>
      <c r="E52" s="11"/>
      <c r="F52" s="11"/>
      <c r="G52" s="11"/>
      <c r="H52" s="11"/>
      <c r="I52" s="11"/>
      <c r="J52" s="11"/>
      <c r="K52" s="11"/>
      <c r="L52" s="11"/>
      <c r="M52" s="11"/>
      <c r="N52" s="11"/>
      <c r="O52" s="15"/>
      <c r="P52" s="11"/>
      <c r="Q52" s="7" t="str">
        <f aca="false">IF(B52="","",IF(SUBSTITUTE(SUBSTITUTE(D52," ",""),"|","")=B52,"OK","Split letters don't match"))</f>
        <v/>
      </c>
      <c r="R52" s="7" t="str">
        <f aca="false">IF(B52="","",IF(AND(M52="Approved",N52&lt;&gt;"",O52&lt;&gt;"",Q52="OK"),"Ready","Not yet"))</f>
        <v/>
      </c>
    </row>
    <row r="53" customFormat="false" ht="15" hidden="false" customHeight="true" outlineLevel="0" collapsed="false">
      <c r="A53" s="11"/>
      <c r="B53" s="11"/>
      <c r="C53" s="11"/>
      <c r="D53" s="11"/>
      <c r="E53" s="11"/>
      <c r="F53" s="11"/>
      <c r="G53" s="11"/>
      <c r="H53" s="11"/>
      <c r="I53" s="11"/>
      <c r="J53" s="11"/>
      <c r="K53" s="11"/>
      <c r="L53" s="11"/>
      <c r="M53" s="11"/>
      <c r="N53" s="11"/>
      <c r="O53" s="15"/>
      <c r="P53" s="11"/>
      <c r="Q53" s="7" t="str">
        <f aca="false">IF(B53="","",IF(SUBSTITUTE(SUBSTITUTE(D53," ",""),"|","")=B53,"OK","Split letters don't match"))</f>
        <v/>
      </c>
      <c r="R53" s="7" t="str">
        <f aca="false">IF(B53="","",IF(AND(M53="Approved",N53&lt;&gt;"",O53&lt;&gt;"",Q53="OK"),"Ready","Not yet"))</f>
        <v/>
      </c>
    </row>
    <row r="54" customFormat="false" ht="15" hidden="false" customHeight="true" outlineLevel="0" collapsed="false">
      <c r="A54" s="11"/>
      <c r="B54" s="11"/>
      <c r="C54" s="11"/>
      <c r="D54" s="11"/>
      <c r="E54" s="11"/>
      <c r="F54" s="11"/>
      <c r="G54" s="11"/>
      <c r="H54" s="11"/>
      <c r="I54" s="11"/>
      <c r="J54" s="11"/>
      <c r="K54" s="11"/>
      <c r="L54" s="11"/>
      <c r="M54" s="11"/>
      <c r="N54" s="11"/>
      <c r="O54" s="15"/>
      <c r="P54" s="11"/>
      <c r="Q54" s="7" t="str">
        <f aca="false">IF(B54="","",IF(SUBSTITUTE(SUBSTITUTE(D54," ",""),"|","")=B54,"OK","Split letters don't match"))</f>
        <v/>
      </c>
      <c r="R54" s="7" t="str">
        <f aca="false">IF(B54="","",IF(AND(M54="Approved",N54&lt;&gt;"",O54&lt;&gt;"",Q54="OK"),"Ready","Not yet"))</f>
        <v/>
      </c>
    </row>
    <row r="55" customFormat="false" ht="15" hidden="false" customHeight="true" outlineLevel="0" collapsed="false">
      <c r="A55" s="11"/>
      <c r="B55" s="11"/>
      <c r="C55" s="11"/>
      <c r="D55" s="11"/>
      <c r="E55" s="11"/>
      <c r="F55" s="11"/>
      <c r="G55" s="11"/>
      <c r="H55" s="11"/>
      <c r="I55" s="11"/>
      <c r="J55" s="11"/>
      <c r="K55" s="11"/>
      <c r="L55" s="11"/>
      <c r="M55" s="11"/>
      <c r="N55" s="11"/>
      <c r="O55" s="15"/>
      <c r="P55" s="11"/>
      <c r="Q55" s="7" t="str">
        <f aca="false">IF(B55="","",IF(SUBSTITUTE(SUBSTITUTE(D55," ",""),"|","")=B55,"OK","Split letters don't match"))</f>
        <v/>
      </c>
      <c r="R55" s="7" t="str">
        <f aca="false">IF(B55="","",IF(AND(M55="Approved",N55&lt;&gt;"",O55&lt;&gt;"",Q55="OK"),"Ready","Not yet"))</f>
        <v/>
      </c>
    </row>
    <row r="56" customFormat="false" ht="15" hidden="false" customHeight="true" outlineLevel="0" collapsed="false">
      <c r="A56" s="11"/>
      <c r="B56" s="11"/>
      <c r="C56" s="11"/>
      <c r="D56" s="11"/>
      <c r="E56" s="11"/>
      <c r="F56" s="11"/>
      <c r="G56" s="11"/>
      <c r="H56" s="11"/>
      <c r="I56" s="11"/>
      <c r="J56" s="11"/>
      <c r="K56" s="11"/>
      <c r="L56" s="11"/>
      <c r="M56" s="11"/>
      <c r="N56" s="11"/>
      <c r="O56" s="15"/>
      <c r="P56" s="11"/>
      <c r="Q56" s="7" t="str">
        <f aca="false">IF(B56="","",IF(SUBSTITUTE(SUBSTITUTE(D56," ",""),"|","")=B56,"OK","Split letters don't match"))</f>
        <v/>
      </c>
      <c r="R56" s="7" t="str">
        <f aca="false">IF(B56="","",IF(AND(M56="Approved",N56&lt;&gt;"",O56&lt;&gt;"",Q56="OK"),"Ready","Not yet"))</f>
        <v/>
      </c>
    </row>
    <row r="57" customFormat="false" ht="15" hidden="false" customHeight="true" outlineLevel="0" collapsed="false">
      <c r="A57" s="11"/>
      <c r="B57" s="11"/>
      <c r="C57" s="11"/>
      <c r="D57" s="11"/>
      <c r="E57" s="11"/>
      <c r="F57" s="11"/>
      <c r="G57" s="11"/>
      <c r="H57" s="11"/>
      <c r="I57" s="11"/>
      <c r="J57" s="11"/>
      <c r="K57" s="11"/>
      <c r="L57" s="11"/>
      <c r="M57" s="11"/>
      <c r="N57" s="11"/>
      <c r="O57" s="15"/>
      <c r="P57" s="11"/>
      <c r="Q57" s="7" t="str">
        <f aca="false">IF(B57="","",IF(SUBSTITUTE(SUBSTITUTE(D57," ",""),"|","")=B57,"OK","Split letters don't match"))</f>
        <v/>
      </c>
      <c r="R57" s="7" t="str">
        <f aca="false">IF(B57="","",IF(AND(M57="Approved",N57&lt;&gt;"",O57&lt;&gt;"",Q57="OK"),"Ready","Not yet"))</f>
        <v/>
      </c>
    </row>
    <row r="58" customFormat="false" ht="15" hidden="false" customHeight="true" outlineLevel="0" collapsed="false">
      <c r="A58" s="11"/>
      <c r="B58" s="11"/>
      <c r="C58" s="11"/>
      <c r="D58" s="11"/>
      <c r="E58" s="11"/>
      <c r="F58" s="11"/>
      <c r="G58" s="11"/>
      <c r="H58" s="11"/>
      <c r="I58" s="11"/>
      <c r="J58" s="11"/>
      <c r="K58" s="11"/>
      <c r="L58" s="11"/>
      <c r="M58" s="11"/>
      <c r="N58" s="11"/>
      <c r="O58" s="15"/>
      <c r="P58" s="11"/>
      <c r="Q58" s="7" t="str">
        <f aca="false">IF(B58="","",IF(SUBSTITUTE(SUBSTITUTE(D58," ",""),"|","")=B58,"OK","Split letters don't match"))</f>
        <v/>
      </c>
      <c r="R58" s="7" t="str">
        <f aca="false">IF(B58="","",IF(AND(M58="Approved",N58&lt;&gt;"",O58&lt;&gt;"",Q58="OK"),"Ready","Not yet"))</f>
        <v/>
      </c>
    </row>
    <row r="59" customFormat="false" ht="15" hidden="false" customHeight="true" outlineLevel="0" collapsed="false">
      <c r="A59" s="11"/>
      <c r="B59" s="11"/>
      <c r="C59" s="11"/>
      <c r="D59" s="11"/>
      <c r="E59" s="11"/>
      <c r="F59" s="11"/>
      <c r="G59" s="11"/>
      <c r="H59" s="11"/>
      <c r="I59" s="11"/>
      <c r="J59" s="11"/>
      <c r="K59" s="11"/>
      <c r="L59" s="11"/>
      <c r="M59" s="11"/>
      <c r="N59" s="11"/>
      <c r="O59" s="15"/>
      <c r="P59" s="11"/>
      <c r="Q59" s="7" t="str">
        <f aca="false">IF(B59="","",IF(SUBSTITUTE(SUBSTITUTE(D59," ",""),"|","")=B59,"OK","Split letters don't match"))</f>
        <v/>
      </c>
      <c r="R59" s="7" t="str">
        <f aca="false">IF(B59="","",IF(AND(M59="Approved",N59&lt;&gt;"",O59&lt;&gt;"",Q59="OK"),"Ready","Not yet"))</f>
        <v/>
      </c>
    </row>
    <row r="60" customFormat="false" ht="15" hidden="false" customHeight="true" outlineLevel="0" collapsed="false">
      <c r="A60" s="11"/>
      <c r="B60" s="11"/>
      <c r="C60" s="11"/>
      <c r="D60" s="11"/>
      <c r="E60" s="11"/>
      <c r="F60" s="11"/>
      <c r="G60" s="11"/>
      <c r="H60" s="11"/>
      <c r="I60" s="11"/>
      <c r="J60" s="11"/>
      <c r="K60" s="11"/>
      <c r="L60" s="11"/>
      <c r="M60" s="11"/>
      <c r="N60" s="11"/>
      <c r="O60" s="15"/>
      <c r="P60" s="11"/>
      <c r="Q60" s="7" t="str">
        <f aca="false">IF(B60="","",IF(SUBSTITUTE(SUBSTITUTE(D60," ",""),"|","")=B60,"OK","Split letters don't match"))</f>
        <v/>
      </c>
      <c r="R60" s="7" t="str">
        <f aca="false">IF(B60="","",IF(AND(M60="Approved",N60&lt;&gt;"",O60&lt;&gt;"",Q60="OK"),"Ready","Not yet"))</f>
        <v/>
      </c>
    </row>
    <row r="61" customFormat="false" ht="15" hidden="false" customHeight="true" outlineLevel="0" collapsed="false">
      <c r="A61" s="11"/>
      <c r="B61" s="11"/>
      <c r="C61" s="11"/>
      <c r="D61" s="11"/>
      <c r="E61" s="11"/>
      <c r="F61" s="11"/>
      <c r="G61" s="11"/>
      <c r="H61" s="11"/>
      <c r="I61" s="11"/>
      <c r="J61" s="11"/>
      <c r="K61" s="11"/>
      <c r="L61" s="11"/>
      <c r="M61" s="11"/>
      <c r="N61" s="11"/>
      <c r="O61" s="15"/>
      <c r="P61" s="11"/>
      <c r="Q61" s="7" t="str">
        <f aca="false">IF(B61="","",IF(SUBSTITUTE(SUBSTITUTE(D61," ",""),"|","")=B61,"OK","Split letters don't match"))</f>
        <v/>
      </c>
      <c r="R61" s="7" t="str">
        <f aca="false">IF(B61="","",IF(AND(M61="Approved",N61&lt;&gt;"",O61&lt;&gt;"",Q61="OK"),"Ready","Not yet"))</f>
        <v/>
      </c>
    </row>
    <row r="62" customFormat="false" ht="15" hidden="false" customHeight="true" outlineLevel="0" collapsed="false">
      <c r="A62" s="11"/>
      <c r="B62" s="11"/>
      <c r="C62" s="11"/>
      <c r="D62" s="11"/>
      <c r="E62" s="11"/>
      <c r="F62" s="11"/>
      <c r="G62" s="11"/>
      <c r="H62" s="11"/>
      <c r="I62" s="11"/>
      <c r="J62" s="11"/>
      <c r="K62" s="11"/>
      <c r="L62" s="11"/>
      <c r="M62" s="11"/>
      <c r="N62" s="11"/>
      <c r="O62" s="15"/>
      <c r="P62" s="11"/>
      <c r="Q62" s="7" t="str">
        <f aca="false">IF(B62="","",IF(SUBSTITUTE(SUBSTITUTE(D62," ",""),"|","")=B62,"OK","Split letters don't match"))</f>
        <v/>
      </c>
      <c r="R62" s="7" t="str">
        <f aca="false">IF(B62="","",IF(AND(M62="Approved",N62&lt;&gt;"",O62&lt;&gt;"",Q62="OK"),"Ready","Not yet"))</f>
        <v/>
      </c>
    </row>
    <row r="63" customFormat="false" ht="15" hidden="false" customHeight="true" outlineLevel="0" collapsed="false">
      <c r="A63" s="11"/>
      <c r="B63" s="11"/>
      <c r="C63" s="11"/>
      <c r="D63" s="11"/>
      <c r="E63" s="11"/>
      <c r="F63" s="11"/>
      <c r="G63" s="11"/>
      <c r="H63" s="11"/>
      <c r="I63" s="11"/>
      <c r="J63" s="11"/>
      <c r="K63" s="11"/>
      <c r="L63" s="11"/>
      <c r="M63" s="11"/>
      <c r="N63" s="11"/>
      <c r="O63" s="15"/>
      <c r="P63" s="11"/>
      <c r="Q63" s="7" t="str">
        <f aca="false">IF(B63="","",IF(SUBSTITUTE(SUBSTITUTE(D63," ",""),"|","")=B63,"OK","Split letters don't match"))</f>
        <v/>
      </c>
      <c r="R63" s="7" t="str">
        <f aca="false">IF(B63="","",IF(AND(M63="Approved",N63&lt;&gt;"",O63&lt;&gt;"",Q63="OK"),"Ready","Not yet"))</f>
        <v/>
      </c>
    </row>
    <row r="64" customFormat="false" ht="15" hidden="false" customHeight="true" outlineLevel="0" collapsed="false">
      <c r="A64" s="11"/>
      <c r="B64" s="11"/>
      <c r="C64" s="11"/>
      <c r="D64" s="11"/>
      <c r="E64" s="11"/>
      <c r="F64" s="11"/>
      <c r="G64" s="11"/>
      <c r="H64" s="11"/>
      <c r="I64" s="11"/>
      <c r="J64" s="11"/>
      <c r="K64" s="11"/>
      <c r="L64" s="11"/>
      <c r="M64" s="11"/>
      <c r="N64" s="11"/>
      <c r="O64" s="15"/>
      <c r="P64" s="11"/>
      <c r="Q64" s="7" t="str">
        <f aca="false">IF(B64="","",IF(SUBSTITUTE(SUBSTITUTE(D64," ",""),"|","")=B64,"OK","Split letters don't match"))</f>
        <v/>
      </c>
      <c r="R64" s="7" t="str">
        <f aca="false">IF(B64="","",IF(AND(M64="Approved",N64&lt;&gt;"",O64&lt;&gt;"",Q64="OK"),"Ready","Not yet"))</f>
        <v/>
      </c>
    </row>
    <row r="65" customFormat="false" ht="15" hidden="false" customHeight="true" outlineLevel="0" collapsed="false">
      <c r="A65" s="11"/>
      <c r="B65" s="11"/>
      <c r="C65" s="11"/>
      <c r="D65" s="11"/>
      <c r="E65" s="11"/>
      <c r="F65" s="11"/>
      <c r="G65" s="11"/>
      <c r="H65" s="11"/>
      <c r="I65" s="11"/>
      <c r="J65" s="11"/>
      <c r="K65" s="11"/>
      <c r="L65" s="11"/>
      <c r="M65" s="11"/>
      <c r="N65" s="11"/>
      <c r="O65" s="15"/>
      <c r="P65" s="11"/>
      <c r="Q65" s="7" t="str">
        <f aca="false">IF(B65="","",IF(SUBSTITUTE(SUBSTITUTE(D65," ",""),"|","")=B65,"OK","Split letters don't match"))</f>
        <v/>
      </c>
      <c r="R65" s="7" t="str">
        <f aca="false">IF(B65="","",IF(AND(M65="Approved",N65&lt;&gt;"",O65&lt;&gt;"",Q65="OK"),"Ready","Not yet"))</f>
        <v/>
      </c>
    </row>
    <row r="66" customFormat="false" ht="15" hidden="false" customHeight="true" outlineLevel="0" collapsed="false">
      <c r="A66" s="11"/>
      <c r="B66" s="11"/>
      <c r="C66" s="11"/>
      <c r="D66" s="11"/>
      <c r="E66" s="11"/>
      <c r="F66" s="11"/>
      <c r="G66" s="11"/>
      <c r="H66" s="11"/>
      <c r="I66" s="11"/>
      <c r="J66" s="11"/>
      <c r="K66" s="11"/>
      <c r="L66" s="11"/>
      <c r="M66" s="11"/>
      <c r="N66" s="11"/>
      <c r="O66" s="15"/>
      <c r="P66" s="11"/>
      <c r="Q66" s="7" t="str">
        <f aca="false">IF(B66="","",IF(SUBSTITUTE(SUBSTITUTE(D66," ",""),"|","")=B66,"OK","Split letters don't match"))</f>
        <v/>
      </c>
      <c r="R66" s="7" t="str">
        <f aca="false">IF(B66="","",IF(AND(M66="Approved",N66&lt;&gt;"",O66&lt;&gt;"",Q66="OK"),"Ready","Not yet"))</f>
        <v/>
      </c>
    </row>
    <row r="67" customFormat="false" ht="15" hidden="false" customHeight="true" outlineLevel="0" collapsed="false">
      <c r="A67" s="11"/>
      <c r="B67" s="11"/>
      <c r="C67" s="11"/>
      <c r="D67" s="11"/>
      <c r="E67" s="11"/>
      <c r="F67" s="11"/>
      <c r="G67" s="11"/>
      <c r="H67" s="11"/>
      <c r="I67" s="11"/>
      <c r="J67" s="11"/>
      <c r="K67" s="11"/>
      <c r="L67" s="11"/>
      <c r="M67" s="11"/>
      <c r="N67" s="11"/>
      <c r="O67" s="15"/>
      <c r="P67" s="11"/>
      <c r="Q67" s="7" t="str">
        <f aca="false">IF(B67="","",IF(SUBSTITUTE(SUBSTITUTE(D67," ",""),"|","")=B67,"OK","Split letters don't match"))</f>
        <v/>
      </c>
      <c r="R67" s="7" t="str">
        <f aca="false">IF(B67="","",IF(AND(M67="Approved",N67&lt;&gt;"",O67&lt;&gt;"",Q67="OK"),"Ready","Not yet"))</f>
        <v/>
      </c>
    </row>
    <row r="68" customFormat="false" ht="15" hidden="false" customHeight="true" outlineLevel="0" collapsed="false">
      <c r="A68" s="11"/>
      <c r="B68" s="11"/>
      <c r="C68" s="11"/>
      <c r="D68" s="11"/>
      <c r="E68" s="11"/>
      <c r="F68" s="11"/>
      <c r="G68" s="11"/>
      <c r="H68" s="11"/>
      <c r="I68" s="11"/>
      <c r="J68" s="11"/>
      <c r="K68" s="11"/>
      <c r="L68" s="11"/>
      <c r="M68" s="11"/>
      <c r="N68" s="11"/>
      <c r="O68" s="15"/>
      <c r="P68" s="11"/>
      <c r="Q68" s="7" t="str">
        <f aca="false">IF(B68="","",IF(SUBSTITUTE(SUBSTITUTE(D68," ",""),"|","")=B68,"OK","Split letters don't match"))</f>
        <v/>
      </c>
      <c r="R68" s="7" t="str">
        <f aca="false">IF(B68="","",IF(AND(M68="Approved",N68&lt;&gt;"",O68&lt;&gt;"",Q68="OK"),"Ready","Not yet"))</f>
        <v/>
      </c>
    </row>
    <row r="69" customFormat="false" ht="15" hidden="false" customHeight="true" outlineLevel="0" collapsed="false">
      <c r="A69" s="11"/>
      <c r="B69" s="11"/>
      <c r="C69" s="11"/>
      <c r="D69" s="11"/>
      <c r="E69" s="11"/>
      <c r="F69" s="11"/>
      <c r="G69" s="11"/>
      <c r="H69" s="11"/>
      <c r="I69" s="11"/>
      <c r="J69" s="11"/>
      <c r="K69" s="11"/>
      <c r="L69" s="11"/>
      <c r="M69" s="11"/>
      <c r="N69" s="11"/>
      <c r="O69" s="15"/>
      <c r="P69" s="11"/>
      <c r="Q69" s="7" t="str">
        <f aca="false">IF(B69="","",IF(SUBSTITUTE(SUBSTITUTE(D69," ",""),"|","")=B69,"OK","Split letters don't match"))</f>
        <v/>
      </c>
      <c r="R69" s="7" t="str">
        <f aca="false">IF(B69="","",IF(AND(M69="Approved",N69&lt;&gt;"",O69&lt;&gt;"",Q69="OK"),"Ready","Not yet"))</f>
        <v/>
      </c>
    </row>
    <row r="70" customFormat="false" ht="15" hidden="false" customHeight="true" outlineLevel="0" collapsed="false">
      <c r="A70" s="11"/>
      <c r="B70" s="11"/>
      <c r="C70" s="11"/>
      <c r="D70" s="11"/>
      <c r="E70" s="11"/>
      <c r="F70" s="11"/>
      <c r="G70" s="11"/>
      <c r="H70" s="11"/>
      <c r="I70" s="11"/>
      <c r="J70" s="11"/>
      <c r="K70" s="11"/>
      <c r="L70" s="11"/>
      <c r="M70" s="11"/>
      <c r="N70" s="11"/>
      <c r="O70" s="15"/>
      <c r="P70" s="11"/>
      <c r="Q70" s="7" t="str">
        <f aca="false">IF(B70="","",IF(SUBSTITUTE(SUBSTITUTE(D70," ",""),"|","")=B70,"OK","Split letters don't match"))</f>
        <v/>
      </c>
      <c r="R70" s="7" t="str">
        <f aca="false">IF(B70="","",IF(AND(M70="Approved",N70&lt;&gt;"",O70&lt;&gt;"",Q70="OK"),"Ready","Not yet"))</f>
        <v/>
      </c>
    </row>
    <row r="71" customFormat="false" ht="15" hidden="false" customHeight="true" outlineLevel="0" collapsed="false">
      <c r="A71" s="11"/>
      <c r="B71" s="11"/>
      <c r="C71" s="11"/>
      <c r="D71" s="11"/>
      <c r="E71" s="11"/>
      <c r="F71" s="11"/>
      <c r="G71" s="11"/>
      <c r="H71" s="11"/>
      <c r="I71" s="11"/>
      <c r="J71" s="11"/>
      <c r="K71" s="11"/>
      <c r="L71" s="11"/>
      <c r="M71" s="11"/>
      <c r="N71" s="11"/>
      <c r="O71" s="15"/>
      <c r="P71" s="11"/>
      <c r="Q71" s="7" t="str">
        <f aca="false">IF(B71="","",IF(SUBSTITUTE(SUBSTITUTE(D71," ",""),"|","")=B71,"OK","Split letters don't match"))</f>
        <v/>
      </c>
      <c r="R71" s="7" t="str">
        <f aca="false">IF(B71="","",IF(AND(M71="Approved",N71&lt;&gt;"",O71&lt;&gt;"",Q71="OK"),"Ready","Not yet"))</f>
        <v/>
      </c>
    </row>
    <row r="72" customFormat="false" ht="15" hidden="false" customHeight="true" outlineLevel="0" collapsed="false">
      <c r="A72" s="11"/>
      <c r="B72" s="11"/>
      <c r="C72" s="11"/>
      <c r="D72" s="11"/>
      <c r="E72" s="11"/>
      <c r="F72" s="11"/>
      <c r="G72" s="11"/>
      <c r="H72" s="11"/>
      <c r="I72" s="11"/>
      <c r="J72" s="11"/>
      <c r="K72" s="11"/>
      <c r="L72" s="11"/>
      <c r="M72" s="11"/>
      <c r="N72" s="11"/>
      <c r="O72" s="15"/>
      <c r="P72" s="11"/>
      <c r="Q72" s="7" t="str">
        <f aca="false">IF(B72="","",IF(SUBSTITUTE(SUBSTITUTE(D72," ",""),"|","")=B72,"OK","Split letters don't match"))</f>
        <v/>
      </c>
      <c r="R72" s="7" t="str">
        <f aca="false">IF(B72="","",IF(AND(M72="Approved",N72&lt;&gt;"",O72&lt;&gt;"",Q72="OK"),"Ready","Not yet"))</f>
        <v/>
      </c>
    </row>
    <row r="73" customFormat="false" ht="15" hidden="false" customHeight="true" outlineLevel="0" collapsed="false">
      <c r="A73" s="11"/>
      <c r="B73" s="11"/>
      <c r="C73" s="11"/>
      <c r="D73" s="11"/>
      <c r="E73" s="11"/>
      <c r="F73" s="11"/>
      <c r="G73" s="11"/>
      <c r="H73" s="11"/>
      <c r="I73" s="11"/>
      <c r="J73" s="11"/>
      <c r="K73" s="11"/>
      <c r="L73" s="11"/>
      <c r="M73" s="11"/>
      <c r="N73" s="11"/>
      <c r="O73" s="15"/>
      <c r="P73" s="11"/>
      <c r="Q73" s="7" t="str">
        <f aca="false">IF(B73="","",IF(SUBSTITUTE(SUBSTITUTE(D73," ",""),"|","")=B73,"OK","Split letters don't match"))</f>
        <v/>
      </c>
      <c r="R73" s="7" t="str">
        <f aca="false">IF(B73="","",IF(AND(M73="Approved",N73&lt;&gt;"",O73&lt;&gt;"",Q73="OK"),"Ready","Not yet"))</f>
        <v/>
      </c>
    </row>
    <row r="74" customFormat="false" ht="15" hidden="false" customHeight="true" outlineLevel="0" collapsed="false">
      <c r="A74" s="11"/>
      <c r="B74" s="11"/>
      <c r="C74" s="11"/>
      <c r="D74" s="11"/>
      <c r="E74" s="11"/>
      <c r="F74" s="11"/>
      <c r="G74" s="11"/>
      <c r="H74" s="11"/>
      <c r="I74" s="11"/>
      <c r="J74" s="11"/>
      <c r="K74" s="11"/>
      <c r="L74" s="11"/>
      <c r="M74" s="11"/>
      <c r="N74" s="11"/>
      <c r="O74" s="15"/>
      <c r="P74" s="11"/>
      <c r="Q74" s="7" t="str">
        <f aca="false">IF(B74="","",IF(SUBSTITUTE(SUBSTITUTE(D74," ",""),"|","")=B74,"OK","Split letters don't match"))</f>
        <v/>
      </c>
      <c r="R74" s="7" t="str">
        <f aca="false">IF(B74="","",IF(AND(M74="Approved",N74&lt;&gt;"",O74&lt;&gt;"",Q74="OK"),"Ready","Not yet"))</f>
        <v/>
      </c>
    </row>
    <row r="75" customFormat="false" ht="15" hidden="false" customHeight="true" outlineLevel="0" collapsed="false">
      <c r="A75" s="11"/>
      <c r="B75" s="11"/>
      <c r="C75" s="11"/>
      <c r="D75" s="11"/>
      <c r="E75" s="11"/>
      <c r="F75" s="11"/>
      <c r="G75" s="11"/>
      <c r="H75" s="11"/>
      <c r="I75" s="11"/>
      <c r="J75" s="11"/>
      <c r="K75" s="11"/>
      <c r="L75" s="11"/>
      <c r="M75" s="11"/>
      <c r="N75" s="11"/>
      <c r="O75" s="15"/>
      <c r="P75" s="11"/>
      <c r="Q75" s="7" t="str">
        <f aca="false">IF(B75="","",IF(SUBSTITUTE(SUBSTITUTE(D75," ",""),"|","")=B75,"OK","Split letters don't match"))</f>
        <v/>
      </c>
      <c r="R75" s="7" t="str">
        <f aca="false">IF(B75="","",IF(AND(M75="Approved",N75&lt;&gt;"",O75&lt;&gt;"",Q75="OK"),"Ready","Not yet"))</f>
        <v/>
      </c>
    </row>
    <row r="76" customFormat="false" ht="15" hidden="false" customHeight="true" outlineLevel="0" collapsed="false">
      <c r="A76" s="11"/>
      <c r="B76" s="11"/>
      <c r="C76" s="11"/>
      <c r="D76" s="11"/>
      <c r="E76" s="11"/>
      <c r="F76" s="11"/>
      <c r="G76" s="11"/>
      <c r="H76" s="11"/>
      <c r="I76" s="11"/>
      <c r="J76" s="11"/>
      <c r="K76" s="11"/>
      <c r="L76" s="11"/>
      <c r="M76" s="11"/>
      <c r="N76" s="11"/>
      <c r="O76" s="15"/>
      <c r="P76" s="11"/>
      <c r="Q76" s="7" t="str">
        <f aca="false">IF(B76="","",IF(SUBSTITUTE(SUBSTITUTE(D76," ",""),"|","")=B76,"OK","Split letters don't match"))</f>
        <v/>
      </c>
      <c r="R76" s="7" t="str">
        <f aca="false">IF(B76="","",IF(AND(M76="Approved",N76&lt;&gt;"",O76&lt;&gt;"",Q76="OK"),"Ready","Not yet"))</f>
        <v/>
      </c>
    </row>
    <row r="77" customFormat="false" ht="15" hidden="false" customHeight="true" outlineLevel="0" collapsed="false">
      <c r="A77" s="11"/>
      <c r="B77" s="11"/>
      <c r="C77" s="11"/>
      <c r="D77" s="11"/>
      <c r="E77" s="11"/>
      <c r="F77" s="11"/>
      <c r="G77" s="11"/>
      <c r="H77" s="11"/>
      <c r="I77" s="11"/>
      <c r="J77" s="11"/>
      <c r="K77" s="11"/>
      <c r="L77" s="11"/>
      <c r="M77" s="11"/>
      <c r="N77" s="11"/>
      <c r="O77" s="15"/>
      <c r="P77" s="11"/>
      <c r="Q77" s="7" t="str">
        <f aca="false">IF(B77="","",IF(SUBSTITUTE(SUBSTITUTE(D77," ",""),"|","")=B77,"OK","Split letters don't match"))</f>
        <v/>
      </c>
      <c r="R77" s="7" t="str">
        <f aca="false">IF(B77="","",IF(AND(M77="Approved",N77&lt;&gt;"",O77&lt;&gt;"",Q77="OK"),"Ready","Not yet"))</f>
        <v/>
      </c>
    </row>
    <row r="78" customFormat="false" ht="15" hidden="false" customHeight="true" outlineLevel="0" collapsed="false">
      <c r="A78" s="11"/>
      <c r="B78" s="11"/>
      <c r="C78" s="11"/>
      <c r="D78" s="11"/>
      <c r="E78" s="11"/>
      <c r="F78" s="11"/>
      <c r="G78" s="11"/>
      <c r="H78" s="11"/>
      <c r="I78" s="11"/>
      <c r="J78" s="11"/>
      <c r="K78" s="11"/>
      <c r="L78" s="11"/>
      <c r="M78" s="11"/>
      <c r="N78" s="11"/>
      <c r="O78" s="15"/>
      <c r="P78" s="11"/>
      <c r="Q78" s="7" t="str">
        <f aca="false">IF(B78="","",IF(SUBSTITUTE(SUBSTITUTE(D78," ",""),"|","")=B78,"OK","Split letters don't match"))</f>
        <v/>
      </c>
      <c r="R78" s="7" t="str">
        <f aca="false">IF(B78="","",IF(AND(M78="Approved",N78&lt;&gt;"",O78&lt;&gt;"",Q78="OK"),"Ready","Not yet"))</f>
        <v/>
      </c>
    </row>
    <row r="79" customFormat="false" ht="15" hidden="false" customHeight="true" outlineLevel="0" collapsed="false">
      <c r="A79" s="11"/>
      <c r="B79" s="11"/>
      <c r="C79" s="11"/>
      <c r="D79" s="11"/>
      <c r="E79" s="11"/>
      <c r="F79" s="11"/>
      <c r="G79" s="11"/>
      <c r="H79" s="11"/>
      <c r="I79" s="11"/>
      <c r="J79" s="11"/>
      <c r="K79" s="11"/>
      <c r="L79" s="11"/>
      <c r="M79" s="11"/>
      <c r="N79" s="11"/>
      <c r="O79" s="15"/>
      <c r="P79" s="11"/>
      <c r="Q79" s="7" t="str">
        <f aca="false">IF(B79="","",IF(SUBSTITUTE(SUBSTITUTE(D79," ",""),"|","")=B79,"OK","Split letters don't match"))</f>
        <v/>
      </c>
      <c r="R79" s="7" t="str">
        <f aca="false">IF(B79="","",IF(AND(M79="Approved",N79&lt;&gt;"",O79&lt;&gt;"",Q79="OK"),"Ready","Not yet"))</f>
        <v/>
      </c>
    </row>
    <row r="80" customFormat="false" ht="15" hidden="false" customHeight="true" outlineLevel="0" collapsed="false">
      <c r="A80" s="11"/>
      <c r="B80" s="11"/>
      <c r="C80" s="11"/>
      <c r="D80" s="11"/>
      <c r="E80" s="11"/>
      <c r="F80" s="11"/>
      <c r="G80" s="11"/>
      <c r="H80" s="11"/>
      <c r="I80" s="11"/>
      <c r="J80" s="11"/>
      <c r="K80" s="11"/>
      <c r="L80" s="11"/>
      <c r="M80" s="11"/>
      <c r="N80" s="11"/>
      <c r="O80" s="15"/>
      <c r="P80" s="11"/>
      <c r="Q80" s="7" t="str">
        <f aca="false">IF(B80="","",IF(SUBSTITUTE(SUBSTITUTE(D80," ",""),"|","")=B80,"OK","Split letters don't match"))</f>
        <v/>
      </c>
      <c r="R80" s="7" t="str">
        <f aca="false">IF(B80="","",IF(AND(M80="Approved",N80&lt;&gt;"",O80&lt;&gt;"",Q80="OK"),"Ready","Not yet"))</f>
        <v/>
      </c>
    </row>
    <row r="81" customFormat="false" ht="15" hidden="false" customHeight="true" outlineLevel="0" collapsed="false">
      <c r="A81" s="11"/>
      <c r="B81" s="11"/>
      <c r="C81" s="11"/>
      <c r="D81" s="11"/>
      <c r="E81" s="11"/>
      <c r="F81" s="11"/>
      <c r="G81" s="11"/>
      <c r="H81" s="11"/>
      <c r="I81" s="11"/>
      <c r="J81" s="11"/>
      <c r="K81" s="11"/>
      <c r="L81" s="11"/>
      <c r="M81" s="11"/>
      <c r="N81" s="11"/>
      <c r="O81" s="15"/>
      <c r="P81" s="11"/>
      <c r="Q81" s="7" t="str">
        <f aca="false">IF(B81="","",IF(SUBSTITUTE(SUBSTITUTE(D81," ",""),"|","")=B81,"OK","Split letters don't match"))</f>
        <v/>
      </c>
      <c r="R81" s="7" t="str">
        <f aca="false">IF(B81="","",IF(AND(M81="Approved",N81&lt;&gt;"",O81&lt;&gt;"",Q81="OK"),"Ready","Not yet"))</f>
        <v/>
      </c>
    </row>
    <row r="82" customFormat="false" ht="15" hidden="false" customHeight="true" outlineLevel="0" collapsed="false">
      <c r="A82" s="11"/>
      <c r="B82" s="11"/>
      <c r="C82" s="11"/>
      <c r="D82" s="11"/>
      <c r="E82" s="11"/>
      <c r="F82" s="11"/>
      <c r="G82" s="11"/>
      <c r="H82" s="11"/>
      <c r="I82" s="11"/>
      <c r="J82" s="11"/>
      <c r="K82" s="11"/>
      <c r="L82" s="11"/>
      <c r="M82" s="11"/>
      <c r="N82" s="11"/>
      <c r="O82" s="15"/>
      <c r="P82" s="11"/>
      <c r="Q82" s="7" t="str">
        <f aca="false">IF(B82="","",IF(SUBSTITUTE(SUBSTITUTE(D82," ",""),"|","")=B82,"OK","Split letters don't match"))</f>
        <v/>
      </c>
      <c r="R82" s="7" t="str">
        <f aca="false">IF(B82="","",IF(AND(M82="Approved",N82&lt;&gt;"",O82&lt;&gt;"",Q82="OK"),"Ready","Not yet"))</f>
        <v/>
      </c>
    </row>
    <row r="83" customFormat="false" ht="15" hidden="false" customHeight="true" outlineLevel="0" collapsed="false">
      <c r="A83" s="11"/>
      <c r="B83" s="11"/>
      <c r="C83" s="11"/>
      <c r="D83" s="11"/>
      <c r="E83" s="11"/>
      <c r="F83" s="11"/>
      <c r="G83" s="11"/>
      <c r="H83" s="11"/>
      <c r="I83" s="11"/>
      <c r="J83" s="11"/>
      <c r="K83" s="11"/>
      <c r="L83" s="11"/>
      <c r="M83" s="11"/>
      <c r="N83" s="11"/>
      <c r="O83" s="15"/>
      <c r="P83" s="11"/>
      <c r="Q83" s="7" t="str">
        <f aca="false">IF(B83="","",IF(SUBSTITUTE(SUBSTITUTE(D83," ",""),"|","")=B83,"OK","Split letters don't match"))</f>
        <v/>
      </c>
      <c r="R83" s="7" t="str">
        <f aca="false">IF(B83="","",IF(AND(M83="Approved",N83&lt;&gt;"",O83&lt;&gt;"",Q83="OK"),"Ready","Not yet"))</f>
        <v/>
      </c>
    </row>
    <row r="84" customFormat="false" ht="15" hidden="false" customHeight="true" outlineLevel="0" collapsed="false">
      <c r="A84" s="11"/>
      <c r="B84" s="11"/>
      <c r="C84" s="11"/>
      <c r="D84" s="11"/>
      <c r="E84" s="11"/>
      <c r="F84" s="11"/>
      <c r="G84" s="11"/>
      <c r="H84" s="11"/>
      <c r="I84" s="11"/>
      <c r="J84" s="11"/>
      <c r="K84" s="11"/>
      <c r="L84" s="11"/>
      <c r="M84" s="11"/>
      <c r="N84" s="11"/>
      <c r="O84" s="15"/>
      <c r="P84" s="11"/>
      <c r="Q84" s="7" t="str">
        <f aca="false">IF(B84="","",IF(SUBSTITUTE(SUBSTITUTE(D84," ",""),"|","")=B84,"OK","Split letters don't match"))</f>
        <v/>
      </c>
      <c r="R84" s="7" t="str">
        <f aca="false">IF(B84="","",IF(AND(M84="Approved",N84&lt;&gt;"",O84&lt;&gt;"",Q84="OK"),"Ready","Not yet"))</f>
        <v/>
      </c>
    </row>
    <row r="85" customFormat="false" ht="15" hidden="false" customHeight="true" outlineLevel="0" collapsed="false">
      <c r="A85" s="11"/>
      <c r="B85" s="11"/>
      <c r="C85" s="11"/>
      <c r="D85" s="11"/>
      <c r="E85" s="11"/>
      <c r="F85" s="11"/>
      <c r="G85" s="11"/>
      <c r="H85" s="11"/>
      <c r="I85" s="11"/>
      <c r="J85" s="11"/>
      <c r="K85" s="11"/>
      <c r="L85" s="11"/>
      <c r="M85" s="11"/>
      <c r="N85" s="11"/>
      <c r="O85" s="15"/>
      <c r="P85" s="11"/>
      <c r="Q85" s="7" t="str">
        <f aca="false">IF(B85="","",IF(SUBSTITUTE(SUBSTITUTE(D85," ",""),"|","")=B85,"OK","Split letters don't match"))</f>
        <v/>
      </c>
      <c r="R85" s="7" t="str">
        <f aca="false">IF(B85="","",IF(AND(M85="Approved",N85&lt;&gt;"",O85&lt;&gt;"",Q85="OK"),"Ready","Not yet"))</f>
        <v/>
      </c>
    </row>
    <row r="86" customFormat="false" ht="15" hidden="false" customHeight="true" outlineLevel="0" collapsed="false">
      <c r="A86" s="11"/>
      <c r="B86" s="11"/>
      <c r="C86" s="11"/>
      <c r="D86" s="11"/>
      <c r="E86" s="11"/>
      <c r="F86" s="11"/>
      <c r="G86" s="11"/>
      <c r="H86" s="11"/>
      <c r="I86" s="11"/>
      <c r="J86" s="11"/>
      <c r="K86" s="11"/>
      <c r="L86" s="11"/>
      <c r="M86" s="11"/>
      <c r="N86" s="11"/>
      <c r="O86" s="15"/>
      <c r="P86" s="11"/>
      <c r="Q86" s="7" t="str">
        <f aca="false">IF(B86="","",IF(SUBSTITUTE(SUBSTITUTE(D86," ",""),"|","")=B86,"OK","Split letters don't match"))</f>
        <v/>
      </c>
      <c r="R86" s="7" t="str">
        <f aca="false">IF(B86="","",IF(AND(M86="Approved",N86&lt;&gt;"",O86&lt;&gt;"",Q86="OK"),"Ready","Not yet"))</f>
        <v/>
      </c>
    </row>
    <row r="87" customFormat="false" ht="15" hidden="false" customHeight="true" outlineLevel="0" collapsed="false">
      <c r="A87" s="11"/>
      <c r="B87" s="11"/>
      <c r="C87" s="11"/>
      <c r="D87" s="11"/>
      <c r="E87" s="11"/>
      <c r="F87" s="11"/>
      <c r="G87" s="11"/>
      <c r="H87" s="11"/>
      <c r="I87" s="11"/>
      <c r="J87" s="11"/>
      <c r="K87" s="11"/>
      <c r="L87" s="11"/>
      <c r="M87" s="11"/>
      <c r="N87" s="11"/>
      <c r="O87" s="15"/>
      <c r="P87" s="11"/>
      <c r="Q87" s="7" t="str">
        <f aca="false">IF(B87="","",IF(SUBSTITUTE(SUBSTITUTE(D87," ",""),"|","")=B87,"OK","Split letters don't match"))</f>
        <v/>
      </c>
      <c r="R87" s="7" t="str">
        <f aca="false">IF(B87="","",IF(AND(M87="Approved",N87&lt;&gt;"",O87&lt;&gt;"",Q87="OK"),"Ready","Not yet"))</f>
        <v/>
      </c>
    </row>
    <row r="88" customFormat="false" ht="15" hidden="false" customHeight="true" outlineLevel="0" collapsed="false">
      <c r="A88" s="11"/>
      <c r="B88" s="11"/>
      <c r="C88" s="11"/>
      <c r="D88" s="11"/>
      <c r="E88" s="11"/>
      <c r="F88" s="11"/>
      <c r="G88" s="11"/>
      <c r="H88" s="11"/>
      <c r="I88" s="11"/>
      <c r="J88" s="11"/>
      <c r="K88" s="11"/>
      <c r="L88" s="11"/>
      <c r="M88" s="11"/>
      <c r="N88" s="11"/>
      <c r="O88" s="15"/>
      <c r="P88" s="11"/>
      <c r="Q88" s="7" t="str">
        <f aca="false">IF(B88="","",IF(SUBSTITUTE(SUBSTITUTE(D88," ",""),"|","")=B88,"OK","Split letters don't match"))</f>
        <v/>
      </c>
      <c r="R88" s="7" t="str">
        <f aca="false">IF(B88="","",IF(AND(M88="Approved",N88&lt;&gt;"",O88&lt;&gt;"",Q88="OK"),"Ready","Not yet"))</f>
        <v/>
      </c>
    </row>
    <row r="89" customFormat="false" ht="15" hidden="false" customHeight="true" outlineLevel="0" collapsed="false">
      <c r="A89" s="11"/>
      <c r="B89" s="11"/>
      <c r="C89" s="11"/>
      <c r="D89" s="11"/>
      <c r="E89" s="11"/>
      <c r="F89" s="11"/>
      <c r="G89" s="11"/>
      <c r="H89" s="11"/>
      <c r="I89" s="11"/>
      <c r="J89" s="11"/>
      <c r="K89" s="11"/>
      <c r="L89" s="11"/>
      <c r="M89" s="11"/>
      <c r="N89" s="11"/>
      <c r="O89" s="15"/>
      <c r="P89" s="11"/>
      <c r="Q89" s="7" t="str">
        <f aca="false">IF(B89="","",IF(SUBSTITUTE(SUBSTITUTE(D89," ",""),"|","")=B89,"OK","Split letters don't match"))</f>
        <v/>
      </c>
      <c r="R89" s="7" t="str">
        <f aca="false">IF(B89="","",IF(AND(M89="Approved",N89&lt;&gt;"",O89&lt;&gt;"",Q89="OK"),"Ready","Not yet"))</f>
        <v/>
      </c>
    </row>
    <row r="90" customFormat="false" ht="15" hidden="false" customHeight="true" outlineLevel="0" collapsed="false">
      <c r="A90" s="11"/>
      <c r="B90" s="11"/>
      <c r="C90" s="11"/>
      <c r="D90" s="11"/>
      <c r="E90" s="11"/>
      <c r="F90" s="11"/>
      <c r="G90" s="11"/>
      <c r="H90" s="11"/>
      <c r="I90" s="11"/>
      <c r="J90" s="11"/>
      <c r="K90" s="11"/>
      <c r="L90" s="11"/>
      <c r="M90" s="11"/>
      <c r="N90" s="11"/>
      <c r="O90" s="15"/>
      <c r="P90" s="11"/>
      <c r="Q90" s="7" t="str">
        <f aca="false">IF(B90="","",IF(SUBSTITUTE(SUBSTITUTE(D90," ",""),"|","")=B90,"OK","Split letters don't match"))</f>
        <v/>
      </c>
      <c r="R90" s="7" t="str">
        <f aca="false">IF(B90="","",IF(AND(M90="Approved",N90&lt;&gt;"",O90&lt;&gt;"",Q90="OK"),"Ready","Not yet"))</f>
        <v/>
      </c>
    </row>
    <row r="91" customFormat="false" ht="15" hidden="false" customHeight="true" outlineLevel="0" collapsed="false">
      <c r="A91" s="11"/>
      <c r="B91" s="11"/>
      <c r="C91" s="11"/>
      <c r="D91" s="11"/>
      <c r="E91" s="11"/>
      <c r="F91" s="11"/>
      <c r="G91" s="11"/>
      <c r="H91" s="11"/>
      <c r="I91" s="11"/>
      <c r="J91" s="11"/>
      <c r="K91" s="11"/>
      <c r="L91" s="11"/>
      <c r="M91" s="11"/>
      <c r="N91" s="11"/>
      <c r="O91" s="15"/>
      <c r="P91" s="11"/>
      <c r="Q91" s="7" t="str">
        <f aca="false">IF(B91="","",IF(SUBSTITUTE(SUBSTITUTE(D91," ",""),"|","")=B91,"OK","Split letters don't match"))</f>
        <v/>
      </c>
      <c r="R91" s="7" t="str">
        <f aca="false">IF(B91="","",IF(AND(M91="Approved",N91&lt;&gt;"",O91&lt;&gt;"",Q91="OK"),"Ready","Not yet"))</f>
        <v/>
      </c>
    </row>
    <row r="92" customFormat="false" ht="15" hidden="false" customHeight="true" outlineLevel="0" collapsed="false">
      <c r="A92" s="11"/>
      <c r="B92" s="11"/>
      <c r="C92" s="11"/>
      <c r="D92" s="11"/>
      <c r="E92" s="11"/>
      <c r="F92" s="11"/>
      <c r="G92" s="11"/>
      <c r="H92" s="11"/>
      <c r="I92" s="11"/>
      <c r="J92" s="11"/>
      <c r="K92" s="11"/>
      <c r="L92" s="11"/>
      <c r="M92" s="11"/>
      <c r="N92" s="11"/>
      <c r="O92" s="15"/>
      <c r="P92" s="11"/>
      <c r="Q92" s="7" t="str">
        <f aca="false">IF(B92="","",IF(SUBSTITUTE(SUBSTITUTE(D92," ",""),"|","")=B92,"OK","Split letters don't match"))</f>
        <v/>
      </c>
      <c r="R92" s="7" t="str">
        <f aca="false">IF(B92="","",IF(AND(M92="Approved",N92&lt;&gt;"",O92&lt;&gt;"",Q92="OK"),"Ready","Not yet"))</f>
        <v/>
      </c>
    </row>
    <row r="93" customFormat="false" ht="15" hidden="false" customHeight="true" outlineLevel="0" collapsed="false">
      <c r="A93" s="11"/>
      <c r="B93" s="11"/>
      <c r="C93" s="11"/>
      <c r="D93" s="11"/>
      <c r="E93" s="11"/>
      <c r="F93" s="11"/>
      <c r="G93" s="11"/>
      <c r="H93" s="11"/>
      <c r="I93" s="11"/>
      <c r="J93" s="11"/>
      <c r="K93" s="11"/>
      <c r="L93" s="11"/>
      <c r="M93" s="11"/>
      <c r="N93" s="11"/>
      <c r="O93" s="15"/>
      <c r="P93" s="11"/>
      <c r="Q93" s="7" t="str">
        <f aca="false">IF(B93="","",IF(SUBSTITUTE(SUBSTITUTE(D93," ",""),"|","")=B93,"OK","Split letters don't match"))</f>
        <v/>
      </c>
      <c r="R93" s="7" t="str">
        <f aca="false">IF(B93="","",IF(AND(M93="Approved",N93&lt;&gt;"",O93&lt;&gt;"",Q93="OK"),"Ready","Not yet"))</f>
        <v/>
      </c>
    </row>
    <row r="94" customFormat="false" ht="15" hidden="false" customHeight="true" outlineLevel="0" collapsed="false">
      <c r="A94" s="11"/>
      <c r="B94" s="11"/>
      <c r="C94" s="11"/>
      <c r="D94" s="11"/>
      <c r="E94" s="11"/>
      <c r="F94" s="11"/>
      <c r="G94" s="11"/>
      <c r="H94" s="11"/>
      <c r="I94" s="11"/>
      <c r="J94" s="11"/>
      <c r="K94" s="11"/>
      <c r="L94" s="11"/>
      <c r="M94" s="11"/>
      <c r="N94" s="11"/>
      <c r="O94" s="15"/>
      <c r="P94" s="11"/>
      <c r="Q94" s="7" t="str">
        <f aca="false">IF(B94="","",IF(SUBSTITUTE(SUBSTITUTE(D94," ",""),"|","")=B94,"OK","Split letters don't match"))</f>
        <v/>
      </c>
      <c r="R94" s="7" t="str">
        <f aca="false">IF(B94="","",IF(AND(M94="Approved",N94&lt;&gt;"",O94&lt;&gt;"",Q94="OK"),"Ready","Not yet"))</f>
        <v/>
      </c>
    </row>
    <row r="95" customFormat="false" ht="15" hidden="false" customHeight="true" outlineLevel="0" collapsed="false">
      <c r="A95" s="11"/>
      <c r="B95" s="11"/>
      <c r="C95" s="11"/>
      <c r="D95" s="11"/>
      <c r="E95" s="11"/>
      <c r="F95" s="11"/>
      <c r="G95" s="11"/>
      <c r="H95" s="11"/>
      <c r="I95" s="11"/>
      <c r="J95" s="11"/>
      <c r="K95" s="11"/>
      <c r="L95" s="11"/>
      <c r="M95" s="11"/>
      <c r="N95" s="11"/>
      <c r="O95" s="15"/>
      <c r="P95" s="11"/>
      <c r="Q95" s="7" t="str">
        <f aca="false">IF(B95="","",IF(SUBSTITUTE(SUBSTITUTE(D95," ",""),"|","")=B95,"OK","Split letters don't match"))</f>
        <v/>
      </c>
      <c r="R95" s="7" t="str">
        <f aca="false">IF(B95="","",IF(AND(M95="Approved",N95&lt;&gt;"",O95&lt;&gt;"",Q95="OK"),"Ready","Not yet"))</f>
        <v/>
      </c>
    </row>
    <row r="96" customFormat="false" ht="15" hidden="false" customHeight="true" outlineLevel="0" collapsed="false">
      <c r="A96" s="11"/>
      <c r="B96" s="11"/>
      <c r="C96" s="11"/>
      <c r="D96" s="11"/>
      <c r="E96" s="11"/>
      <c r="F96" s="11"/>
      <c r="G96" s="11"/>
      <c r="H96" s="11"/>
      <c r="I96" s="11"/>
      <c r="J96" s="11"/>
      <c r="K96" s="11"/>
      <c r="L96" s="11"/>
      <c r="M96" s="11"/>
      <c r="N96" s="11"/>
      <c r="O96" s="15"/>
      <c r="P96" s="11"/>
      <c r="Q96" s="7" t="str">
        <f aca="false">IF(B96="","",IF(SUBSTITUTE(SUBSTITUTE(D96," ",""),"|","")=B96,"OK","Split letters don't match"))</f>
        <v/>
      </c>
      <c r="R96" s="7" t="str">
        <f aca="false">IF(B96="","",IF(AND(M96="Approved",N96&lt;&gt;"",O96&lt;&gt;"",Q96="OK"),"Ready","Not yet"))</f>
        <v/>
      </c>
    </row>
    <row r="97" customFormat="false" ht="15" hidden="false" customHeight="true" outlineLevel="0" collapsed="false">
      <c r="A97" s="11"/>
      <c r="B97" s="11"/>
      <c r="C97" s="11"/>
      <c r="D97" s="11"/>
      <c r="E97" s="11"/>
      <c r="F97" s="11"/>
      <c r="G97" s="11"/>
      <c r="H97" s="11"/>
      <c r="I97" s="11"/>
      <c r="J97" s="11"/>
      <c r="K97" s="11"/>
      <c r="L97" s="11"/>
      <c r="M97" s="11"/>
      <c r="N97" s="11"/>
      <c r="O97" s="15"/>
      <c r="P97" s="11"/>
      <c r="Q97" s="7" t="str">
        <f aca="false">IF(B97="","",IF(SUBSTITUTE(SUBSTITUTE(D97," ",""),"|","")=B97,"OK","Split letters don't match"))</f>
        <v/>
      </c>
      <c r="R97" s="7" t="str">
        <f aca="false">IF(B97="","",IF(AND(M97="Approved",N97&lt;&gt;"",O97&lt;&gt;"",Q97="OK"),"Ready","Not yet"))</f>
        <v/>
      </c>
    </row>
    <row r="98" customFormat="false" ht="15" hidden="false" customHeight="true" outlineLevel="0" collapsed="false">
      <c r="A98" s="11"/>
      <c r="B98" s="11"/>
      <c r="C98" s="11"/>
      <c r="D98" s="11"/>
      <c r="E98" s="11"/>
      <c r="F98" s="11"/>
      <c r="G98" s="11"/>
      <c r="H98" s="11"/>
      <c r="I98" s="11"/>
      <c r="J98" s="11"/>
      <c r="K98" s="11"/>
      <c r="L98" s="11"/>
      <c r="M98" s="11"/>
      <c r="N98" s="11"/>
      <c r="O98" s="15"/>
      <c r="P98" s="11"/>
      <c r="Q98" s="7" t="str">
        <f aca="false">IF(B98="","",IF(SUBSTITUTE(SUBSTITUTE(D98," ",""),"|","")=B98,"OK","Split letters don't match"))</f>
        <v/>
      </c>
      <c r="R98" s="7" t="str">
        <f aca="false">IF(B98="","",IF(AND(M98="Approved",N98&lt;&gt;"",O98&lt;&gt;"",Q98="OK"),"Ready","Not yet"))</f>
        <v/>
      </c>
    </row>
    <row r="99" customFormat="false" ht="15" hidden="false" customHeight="true" outlineLevel="0" collapsed="false">
      <c r="A99" s="11"/>
      <c r="B99" s="11"/>
      <c r="C99" s="11"/>
      <c r="D99" s="11"/>
      <c r="E99" s="11"/>
      <c r="F99" s="11"/>
      <c r="G99" s="11"/>
      <c r="H99" s="11"/>
      <c r="I99" s="11"/>
      <c r="J99" s="11"/>
      <c r="K99" s="11"/>
      <c r="L99" s="11"/>
      <c r="M99" s="11"/>
      <c r="N99" s="11"/>
      <c r="O99" s="15"/>
      <c r="P99" s="11"/>
      <c r="Q99" s="7" t="str">
        <f aca="false">IF(B99="","",IF(SUBSTITUTE(SUBSTITUTE(D99," ",""),"|","")=B99,"OK","Split letters don't match"))</f>
        <v/>
      </c>
      <c r="R99" s="7" t="str">
        <f aca="false">IF(B99="","",IF(AND(M99="Approved",N99&lt;&gt;"",O99&lt;&gt;"",Q99="OK"),"Ready","Not yet"))</f>
        <v/>
      </c>
    </row>
    <row r="100" customFormat="false" ht="15" hidden="false" customHeight="true" outlineLevel="0" collapsed="false">
      <c r="A100" s="11"/>
      <c r="B100" s="11"/>
      <c r="C100" s="11"/>
      <c r="D100" s="11"/>
      <c r="E100" s="11"/>
      <c r="F100" s="11"/>
      <c r="G100" s="11"/>
      <c r="H100" s="11"/>
      <c r="I100" s="11"/>
      <c r="J100" s="11"/>
      <c r="K100" s="11"/>
      <c r="L100" s="11"/>
      <c r="M100" s="11"/>
      <c r="N100" s="11"/>
      <c r="O100" s="15"/>
      <c r="P100" s="11"/>
      <c r="Q100" s="7" t="str">
        <f aca="false">IF(B100="","",IF(SUBSTITUTE(SUBSTITUTE(D100," ",""),"|","")=B100,"OK","Split letters don't match"))</f>
        <v/>
      </c>
      <c r="R100" s="7" t="str">
        <f aca="false">IF(B100="","",IF(AND(M100="Approved",N100&lt;&gt;"",O100&lt;&gt;"",Q100="OK"),"Ready","Not yet"))</f>
        <v/>
      </c>
    </row>
    <row r="101" customFormat="false" ht="15" hidden="false" customHeight="true" outlineLevel="0" collapsed="false">
      <c r="A101" s="11"/>
      <c r="B101" s="11"/>
      <c r="C101" s="11"/>
      <c r="D101" s="11"/>
      <c r="E101" s="11"/>
      <c r="F101" s="11"/>
      <c r="G101" s="11"/>
      <c r="H101" s="11"/>
      <c r="I101" s="11"/>
      <c r="J101" s="11"/>
      <c r="K101" s="11"/>
      <c r="L101" s="11"/>
      <c r="M101" s="11"/>
      <c r="N101" s="11"/>
      <c r="O101" s="15"/>
      <c r="P101" s="11"/>
      <c r="Q101" s="7" t="str">
        <f aca="false">IF(B101="","",IF(SUBSTITUTE(SUBSTITUTE(D101," ",""),"|","")=B101,"OK","Split letters don't match"))</f>
        <v/>
      </c>
      <c r="R101" s="7" t="str">
        <f aca="false">IF(B101="","",IF(AND(M101="Approved",N101&lt;&gt;"",O101&lt;&gt;"",Q101="OK"),"Ready","Not yet"))</f>
        <v/>
      </c>
    </row>
    <row r="102" customFormat="false" ht="15" hidden="false" customHeight="true" outlineLevel="0" collapsed="false">
      <c r="A102" s="11"/>
      <c r="B102" s="11"/>
      <c r="C102" s="11"/>
      <c r="D102" s="11"/>
      <c r="E102" s="11"/>
      <c r="F102" s="11"/>
      <c r="G102" s="11"/>
      <c r="H102" s="11"/>
      <c r="I102" s="11"/>
      <c r="J102" s="11"/>
      <c r="K102" s="11"/>
      <c r="L102" s="11"/>
      <c r="M102" s="11"/>
      <c r="N102" s="11"/>
      <c r="O102" s="15"/>
      <c r="P102" s="11"/>
      <c r="Q102" s="7" t="str">
        <f aca="false">IF(B102="","",IF(SUBSTITUTE(SUBSTITUTE(D102," ",""),"|","")=B102,"OK","Split letters don't match"))</f>
        <v/>
      </c>
      <c r="R102" s="7" t="str">
        <f aca="false">IF(B102="","",IF(AND(M102="Approved",N102&lt;&gt;"",O102&lt;&gt;"",Q102="OK"),"Ready","Not yet"))</f>
        <v/>
      </c>
    </row>
    <row r="103" customFormat="false" ht="15" hidden="false" customHeight="true" outlineLevel="0" collapsed="false">
      <c r="A103" s="11"/>
      <c r="B103" s="11"/>
      <c r="C103" s="11"/>
      <c r="D103" s="11"/>
      <c r="E103" s="11"/>
      <c r="F103" s="11"/>
      <c r="G103" s="11"/>
      <c r="H103" s="11"/>
      <c r="I103" s="11"/>
      <c r="J103" s="11"/>
      <c r="K103" s="11"/>
      <c r="L103" s="11"/>
      <c r="M103" s="11"/>
      <c r="N103" s="11"/>
      <c r="O103" s="15"/>
      <c r="P103" s="11"/>
      <c r="Q103" s="7" t="str">
        <f aca="false">IF(B103="","",IF(SUBSTITUTE(SUBSTITUTE(D103," ",""),"|","")=B103,"OK","Split letters don't match"))</f>
        <v/>
      </c>
      <c r="R103" s="7" t="str">
        <f aca="false">IF(B103="","",IF(AND(M103="Approved",N103&lt;&gt;"",O103&lt;&gt;"",Q103="OK"),"Ready","Not yet"))</f>
        <v/>
      </c>
    </row>
    <row r="104" customFormat="false" ht="15" hidden="false" customHeight="true" outlineLevel="0" collapsed="false">
      <c r="A104" s="11"/>
      <c r="B104" s="11"/>
      <c r="C104" s="11"/>
      <c r="D104" s="11"/>
      <c r="E104" s="11"/>
      <c r="F104" s="11"/>
      <c r="G104" s="11"/>
      <c r="H104" s="11"/>
      <c r="I104" s="11"/>
      <c r="J104" s="11"/>
      <c r="K104" s="11"/>
      <c r="L104" s="11"/>
      <c r="M104" s="11"/>
      <c r="N104" s="11"/>
      <c r="O104" s="15"/>
      <c r="P104" s="11"/>
      <c r="Q104" s="7" t="str">
        <f aca="false">IF(B104="","",IF(SUBSTITUTE(SUBSTITUTE(D104," ",""),"|","")=B104,"OK","Split letters don't match"))</f>
        <v/>
      </c>
      <c r="R104" s="7" t="str">
        <f aca="false">IF(B104="","",IF(AND(M104="Approved",N104&lt;&gt;"",O104&lt;&gt;"",Q104="OK"),"Ready","Not yet"))</f>
        <v/>
      </c>
    </row>
    <row r="105" customFormat="false" ht="15" hidden="false" customHeight="true" outlineLevel="0" collapsed="false">
      <c r="A105" s="11"/>
      <c r="B105" s="11"/>
      <c r="C105" s="11"/>
      <c r="D105" s="11"/>
      <c r="E105" s="11"/>
      <c r="F105" s="11"/>
      <c r="G105" s="11"/>
      <c r="H105" s="11"/>
      <c r="I105" s="11"/>
      <c r="J105" s="11"/>
      <c r="K105" s="11"/>
      <c r="L105" s="11"/>
      <c r="M105" s="11"/>
      <c r="N105" s="11"/>
      <c r="O105" s="15"/>
      <c r="P105" s="11"/>
      <c r="Q105" s="7" t="str">
        <f aca="false">IF(B105="","",IF(SUBSTITUTE(SUBSTITUTE(D105," ",""),"|","")=B105,"OK","Split letters don't match"))</f>
        <v/>
      </c>
      <c r="R105" s="7" t="str">
        <f aca="false">IF(B105="","",IF(AND(M105="Approved",N105&lt;&gt;"",O105&lt;&gt;"",Q105="OK"),"Ready","Not yet"))</f>
        <v/>
      </c>
    </row>
    <row r="106" customFormat="false" ht="15" hidden="false" customHeight="true" outlineLevel="0" collapsed="false">
      <c r="A106" s="11"/>
      <c r="B106" s="11"/>
      <c r="C106" s="11"/>
      <c r="D106" s="11"/>
      <c r="E106" s="11"/>
      <c r="F106" s="11"/>
      <c r="G106" s="11"/>
      <c r="H106" s="11"/>
      <c r="I106" s="11"/>
      <c r="J106" s="11"/>
      <c r="K106" s="11"/>
      <c r="L106" s="11"/>
      <c r="M106" s="11"/>
      <c r="N106" s="11"/>
      <c r="O106" s="15"/>
      <c r="P106" s="11"/>
      <c r="Q106" s="7" t="str">
        <f aca="false">IF(B106="","",IF(SUBSTITUTE(SUBSTITUTE(D106," ",""),"|","")=B106,"OK","Split letters don't match"))</f>
        <v/>
      </c>
      <c r="R106" s="7" t="str">
        <f aca="false">IF(B106="","",IF(AND(M106="Approved",N106&lt;&gt;"",O106&lt;&gt;"",Q106="OK"),"Ready","Not yet"))</f>
        <v/>
      </c>
    </row>
    <row r="107" customFormat="false" ht="15" hidden="false" customHeight="true" outlineLevel="0" collapsed="false">
      <c r="A107" s="11"/>
      <c r="B107" s="11"/>
      <c r="C107" s="11"/>
      <c r="D107" s="11"/>
      <c r="E107" s="11"/>
      <c r="F107" s="11"/>
      <c r="G107" s="11"/>
      <c r="H107" s="11"/>
      <c r="I107" s="11"/>
      <c r="J107" s="11"/>
      <c r="K107" s="11"/>
      <c r="L107" s="11"/>
      <c r="M107" s="11"/>
      <c r="N107" s="11"/>
      <c r="O107" s="15"/>
      <c r="P107" s="11"/>
      <c r="Q107" s="7" t="str">
        <f aca="false">IF(B107="","",IF(SUBSTITUTE(SUBSTITUTE(D107," ",""),"|","")=B107,"OK","Split letters don't match"))</f>
        <v/>
      </c>
      <c r="R107" s="7" t="str">
        <f aca="false">IF(B107="","",IF(AND(M107="Approved",N107&lt;&gt;"",O107&lt;&gt;"",Q107="OK"),"Ready","Not yet"))</f>
        <v/>
      </c>
    </row>
    <row r="108" customFormat="false" ht="15" hidden="false" customHeight="true" outlineLevel="0" collapsed="false">
      <c r="A108" s="11"/>
      <c r="B108" s="11"/>
      <c r="C108" s="11"/>
      <c r="D108" s="11"/>
      <c r="E108" s="11"/>
      <c r="F108" s="11"/>
      <c r="G108" s="11"/>
      <c r="H108" s="11"/>
      <c r="I108" s="11"/>
      <c r="J108" s="11"/>
      <c r="K108" s="11"/>
      <c r="L108" s="11"/>
      <c r="M108" s="11"/>
      <c r="N108" s="11"/>
      <c r="O108" s="15"/>
      <c r="P108" s="11"/>
      <c r="Q108" s="7" t="str">
        <f aca="false">IF(B108="","",IF(SUBSTITUTE(SUBSTITUTE(D108," ",""),"|","")=B108,"OK","Split letters don't match"))</f>
        <v/>
      </c>
      <c r="R108" s="7" t="str">
        <f aca="false">IF(B108="","",IF(AND(M108="Approved",N108&lt;&gt;"",O108&lt;&gt;"",Q108="OK"),"Ready","Not yet"))</f>
        <v/>
      </c>
    </row>
    <row r="109" customFormat="false" ht="15" hidden="false" customHeight="true" outlineLevel="0" collapsed="false">
      <c r="A109" s="11"/>
      <c r="B109" s="11"/>
      <c r="C109" s="11"/>
      <c r="D109" s="11"/>
      <c r="E109" s="11"/>
      <c r="F109" s="11"/>
      <c r="G109" s="11"/>
      <c r="H109" s="11"/>
      <c r="I109" s="11"/>
      <c r="J109" s="11"/>
      <c r="K109" s="11"/>
      <c r="L109" s="11"/>
      <c r="M109" s="11"/>
      <c r="N109" s="11"/>
      <c r="O109" s="15"/>
      <c r="P109" s="11"/>
      <c r="Q109" s="7" t="str">
        <f aca="false">IF(B109="","",IF(SUBSTITUTE(SUBSTITUTE(D109," ",""),"|","")=B109,"OK","Split letters don't match"))</f>
        <v/>
      </c>
      <c r="R109" s="7" t="str">
        <f aca="false">IF(B109="","",IF(AND(M109="Approved",N109&lt;&gt;"",O109&lt;&gt;"",Q109="OK"),"Ready","Not yet"))</f>
        <v/>
      </c>
    </row>
    <row r="110" customFormat="false" ht="15" hidden="false" customHeight="true" outlineLevel="0" collapsed="false">
      <c r="A110" s="11"/>
      <c r="B110" s="11"/>
      <c r="C110" s="11"/>
      <c r="D110" s="11"/>
      <c r="E110" s="11"/>
      <c r="F110" s="11"/>
      <c r="G110" s="11"/>
      <c r="H110" s="11"/>
      <c r="I110" s="11"/>
      <c r="J110" s="11"/>
      <c r="K110" s="11"/>
      <c r="L110" s="11"/>
      <c r="M110" s="11"/>
      <c r="N110" s="11"/>
      <c r="O110" s="15"/>
      <c r="P110" s="11"/>
      <c r="Q110" s="7" t="str">
        <f aca="false">IF(B110="","",IF(SUBSTITUTE(SUBSTITUTE(D110," ",""),"|","")=B110,"OK","Split letters don't match"))</f>
        <v/>
      </c>
      <c r="R110" s="7" t="str">
        <f aca="false">IF(B110="","",IF(AND(M110="Approved",N110&lt;&gt;"",O110&lt;&gt;"",Q110="OK"),"Ready","Not yet"))</f>
        <v/>
      </c>
    </row>
    <row r="111" customFormat="false" ht="15" hidden="false" customHeight="true" outlineLevel="0" collapsed="false">
      <c r="A111" s="11"/>
      <c r="B111" s="11"/>
      <c r="C111" s="11"/>
      <c r="D111" s="11"/>
      <c r="E111" s="11"/>
      <c r="F111" s="11"/>
      <c r="G111" s="11"/>
      <c r="H111" s="11"/>
      <c r="I111" s="11"/>
      <c r="J111" s="11"/>
      <c r="K111" s="11"/>
      <c r="L111" s="11"/>
      <c r="M111" s="11"/>
      <c r="N111" s="11"/>
      <c r="O111" s="15"/>
      <c r="P111" s="11"/>
      <c r="Q111" s="7" t="str">
        <f aca="false">IF(B111="","",IF(SUBSTITUTE(SUBSTITUTE(D111," ",""),"|","")=B111,"OK","Split letters don't match"))</f>
        <v/>
      </c>
      <c r="R111" s="7" t="str">
        <f aca="false">IF(B111="","",IF(AND(M111="Approved",N111&lt;&gt;"",O111&lt;&gt;"",Q111="OK"),"Ready","Not yet"))</f>
        <v/>
      </c>
    </row>
    <row r="112" customFormat="false" ht="15" hidden="false" customHeight="true" outlineLevel="0" collapsed="false">
      <c r="A112" s="11"/>
      <c r="B112" s="11"/>
      <c r="C112" s="11"/>
      <c r="D112" s="11"/>
      <c r="E112" s="11"/>
      <c r="F112" s="11"/>
      <c r="G112" s="11"/>
      <c r="H112" s="11"/>
      <c r="I112" s="11"/>
      <c r="J112" s="11"/>
      <c r="K112" s="11"/>
      <c r="L112" s="11"/>
      <c r="M112" s="11"/>
      <c r="N112" s="11"/>
      <c r="O112" s="15"/>
      <c r="P112" s="11"/>
      <c r="Q112" s="7" t="str">
        <f aca="false">IF(B112="","",IF(SUBSTITUTE(SUBSTITUTE(D112," ",""),"|","")=B112,"OK","Split letters don't match"))</f>
        <v/>
      </c>
      <c r="R112" s="7" t="str">
        <f aca="false">IF(B112="","",IF(AND(M112="Approved",N112&lt;&gt;"",O112&lt;&gt;"",Q112="OK"),"Ready","Not yet"))</f>
        <v/>
      </c>
    </row>
    <row r="113" customFormat="false" ht="15" hidden="false" customHeight="true" outlineLevel="0" collapsed="false">
      <c r="A113" s="11"/>
      <c r="B113" s="11"/>
      <c r="C113" s="11"/>
      <c r="D113" s="11"/>
      <c r="E113" s="11"/>
      <c r="F113" s="11"/>
      <c r="G113" s="11"/>
      <c r="H113" s="11"/>
      <c r="I113" s="11"/>
      <c r="J113" s="11"/>
      <c r="K113" s="11"/>
      <c r="L113" s="11"/>
      <c r="M113" s="11"/>
      <c r="N113" s="11"/>
      <c r="O113" s="15"/>
      <c r="P113" s="11"/>
      <c r="Q113" s="7" t="str">
        <f aca="false">IF(B113="","",IF(SUBSTITUTE(SUBSTITUTE(D113," ",""),"|","")=B113,"OK","Split letters don't match"))</f>
        <v/>
      </c>
      <c r="R113" s="7" t="str">
        <f aca="false">IF(B113="","",IF(AND(M113="Approved",N113&lt;&gt;"",O113&lt;&gt;"",Q113="OK"),"Ready","Not yet"))</f>
        <v/>
      </c>
    </row>
    <row r="114" customFormat="false" ht="15" hidden="false" customHeight="true" outlineLevel="0" collapsed="false">
      <c r="A114" s="11"/>
      <c r="B114" s="11"/>
      <c r="C114" s="11"/>
      <c r="D114" s="11"/>
      <c r="E114" s="11"/>
      <c r="F114" s="11"/>
      <c r="G114" s="11"/>
      <c r="H114" s="11"/>
      <c r="I114" s="11"/>
      <c r="J114" s="11"/>
      <c r="K114" s="11"/>
      <c r="L114" s="11"/>
      <c r="M114" s="11"/>
      <c r="N114" s="11"/>
      <c r="O114" s="15"/>
      <c r="P114" s="11"/>
      <c r="Q114" s="7" t="str">
        <f aca="false">IF(B114="","",IF(SUBSTITUTE(SUBSTITUTE(D114," ",""),"|","")=B114,"OK","Split letters don't match"))</f>
        <v/>
      </c>
      <c r="R114" s="7" t="str">
        <f aca="false">IF(B114="","",IF(AND(M114="Approved",N114&lt;&gt;"",O114&lt;&gt;"",Q114="OK"),"Ready","Not yet"))</f>
        <v/>
      </c>
    </row>
    <row r="115" customFormat="false" ht="15" hidden="false" customHeight="true" outlineLevel="0" collapsed="false">
      <c r="A115" s="11"/>
      <c r="B115" s="11"/>
      <c r="C115" s="11"/>
      <c r="D115" s="11"/>
      <c r="E115" s="11"/>
      <c r="F115" s="11"/>
      <c r="G115" s="11"/>
      <c r="H115" s="11"/>
      <c r="I115" s="11"/>
      <c r="J115" s="11"/>
      <c r="K115" s="11"/>
      <c r="L115" s="11"/>
      <c r="M115" s="11"/>
      <c r="N115" s="11"/>
      <c r="O115" s="15"/>
      <c r="P115" s="11"/>
      <c r="Q115" s="7" t="str">
        <f aca="false">IF(B115="","",IF(SUBSTITUTE(SUBSTITUTE(D115," ",""),"|","")=B115,"OK","Split letters don't match"))</f>
        <v/>
      </c>
      <c r="R115" s="7" t="str">
        <f aca="false">IF(B115="","",IF(AND(M115="Approved",N115&lt;&gt;"",O115&lt;&gt;"",Q115="OK"),"Ready","Not yet"))</f>
        <v/>
      </c>
    </row>
    <row r="116" customFormat="false" ht="15" hidden="false" customHeight="true" outlineLevel="0" collapsed="false">
      <c r="A116" s="11"/>
      <c r="B116" s="11"/>
      <c r="C116" s="11"/>
      <c r="D116" s="11"/>
      <c r="E116" s="11"/>
      <c r="F116" s="11"/>
      <c r="G116" s="11"/>
      <c r="H116" s="11"/>
      <c r="I116" s="11"/>
      <c r="J116" s="11"/>
      <c r="K116" s="11"/>
      <c r="L116" s="11"/>
      <c r="M116" s="11"/>
      <c r="N116" s="11"/>
      <c r="O116" s="15"/>
      <c r="P116" s="11"/>
      <c r="Q116" s="7" t="str">
        <f aca="false">IF(B116="","",IF(SUBSTITUTE(SUBSTITUTE(D116," ",""),"|","")=B116,"OK","Split letters don't match"))</f>
        <v/>
      </c>
      <c r="R116" s="7" t="str">
        <f aca="false">IF(B116="","",IF(AND(M116="Approved",N116&lt;&gt;"",O116&lt;&gt;"",Q116="OK"),"Ready","Not yet"))</f>
        <v/>
      </c>
    </row>
    <row r="117" customFormat="false" ht="15" hidden="false" customHeight="true" outlineLevel="0" collapsed="false">
      <c r="A117" s="11"/>
      <c r="B117" s="11"/>
      <c r="C117" s="11"/>
      <c r="D117" s="11"/>
      <c r="E117" s="11"/>
      <c r="F117" s="11"/>
      <c r="G117" s="11"/>
      <c r="H117" s="11"/>
      <c r="I117" s="11"/>
      <c r="J117" s="11"/>
      <c r="K117" s="11"/>
      <c r="L117" s="11"/>
      <c r="M117" s="11"/>
      <c r="N117" s="11"/>
      <c r="O117" s="15"/>
      <c r="P117" s="11"/>
      <c r="Q117" s="7" t="str">
        <f aca="false">IF(B117="","",IF(SUBSTITUTE(SUBSTITUTE(D117," ",""),"|","")=B117,"OK","Split letters don't match"))</f>
        <v/>
      </c>
      <c r="R117" s="7" t="str">
        <f aca="false">IF(B117="","",IF(AND(M117="Approved",N117&lt;&gt;"",O117&lt;&gt;"",Q117="OK"),"Ready","Not yet"))</f>
        <v/>
      </c>
    </row>
    <row r="118" customFormat="false" ht="15" hidden="false" customHeight="true" outlineLevel="0" collapsed="false">
      <c r="A118" s="11"/>
      <c r="B118" s="11"/>
      <c r="C118" s="11"/>
      <c r="D118" s="11"/>
      <c r="E118" s="11"/>
      <c r="F118" s="11"/>
      <c r="G118" s="11"/>
      <c r="H118" s="11"/>
      <c r="I118" s="11"/>
      <c r="J118" s="11"/>
      <c r="K118" s="11"/>
      <c r="L118" s="11"/>
      <c r="M118" s="11"/>
      <c r="N118" s="11"/>
      <c r="O118" s="15"/>
      <c r="P118" s="11"/>
      <c r="Q118" s="7" t="str">
        <f aca="false">IF(B118="","",IF(SUBSTITUTE(SUBSTITUTE(D118," ",""),"|","")=B118,"OK","Split letters don't match"))</f>
        <v/>
      </c>
      <c r="R118" s="7" t="str">
        <f aca="false">IF(B118="","",IF(AND(M118="Approved",N118&lt;&gt;"",O118&lt;&gt;"",Q118="OK"),"Ready","Not yet"))</f>
        <v/>
      </c>
    </row>
    <row r="119" customFormat="false" ht="15" hidden="false" customHeight="true" outlineLevel="0" collapsed="false">
      <c r="A119" s="11"/>
      <c r="B119" s="11"/>
      <c r="C119" s="11"/>
      <c r="D119" s="11"/>
      <c r="E119" s="11"/>
      <c r="F119" s="11"/>
      <c r="G119" s="11"/>
      <c r="H119" s="11"/>
      <c r="I119" s="11"/>
      <c r="J119" s="11"/>
      <c r="K119" s="11"/>
      <c r="L119" s="11"/>
      <c r="M119" s="11"/>
      <c r="N119" s="11"/>
      <c r="O119" s="15"/>
      <c r="P119" s="11"/>
      <c r="Q119" s="7" t="str">
        <f aca="false">IF(B119="","",IF(SUBSTITUTE(SUBSTITUTE(D119," ",""),"|","")=B119,"OK","Split letters don't match"))</f>
        <v/>
      </c>
      <c r="R119" s="7" t="str">
        <f aca="false">IF(B119="","",IF(AND(M119="Approved",N119&lt;&gt;"",O119&lt;&gt;"",Q119="OK"),"Ready","Not yet"))</f>
        <v/>
      </c>
    </row>
    <row r="120" customFormat="false" ht="15" hidden="false" customHeight="true" outlineLevel="0" collapsed="false">
      <c r="A120" s="11"/>
      <c r="B120" s="11"/>
      <c r="C120" s="11"/>
      <c r="D120" s="11"/>
      <c r="E120" s="11"/>
      <c r="F120" s="11"/>
      <c r="G120" s="11"/>
      <c r="H120" s="11"/>
      <c r="I120" s="11"/>
      <c r="J120" s="11"/>
      <c r="K120" s="11"/>
      <c r="L120" s="11"/>
      <c r="M120" s="11"/>
      <c r="N120" s="11"/>
      <c r="O120" s="15"/>
      <c r="P120" s="11"/>
      <c r="Q120" s="7" t="str">
        <f aca="false">IF(B120="","",IF(SUBSTITUTE(SUBSTITUTE(D120," ",""),"|","")=B120,"OK","Split letters don't match"))</f>
        <v/>
      </c>
      <c r="R120" s="7" t="str">
        <f aca="false">IF(B120="","",IF(AND(M120="Approved",N120&lt;&gt;"",O120&lt;&gt;"",Q120="OK"),"Ready","Not yet"))</f>
        <v/>
      </c>
    </row>
    <row r="121" customFormat="false" ht="15" hidden="false" customHeight="true" outlineLevel="0" collapsed="false">
      <c r="A121" s="11"/>
      <c r="B121" s="11"/>
      <c r="C121" s="11"/>
      <c r="D121" s="11"/>
      <c r="E121" s="11"/>
      <c r="F121" s="11"/>
      <c r="G121" s="11"/>
      <c r="H121" s="11"/>
      <c r="I121" s="11"/>
      <c r="J121" s="11"/>
      <c r="K121" s="11"/>
      <c r="L121" s="11"/>
      <c r="M121" s="11"/>
      <c r="N121" s="11"/>
      <c r="O121" s="15"/>
      <c r="P121" s="11"/>
      <c r="Q121" s="7" t="str">
        <f aca="false">IF(B121="","",IF(SUBSTITUTE(SUBSTITUTE(D121," ",""),"|","")=B121,"OK","Split letters don't match"))</f>
        <v/>
      </c>
      <c r="R121" s="7" t="str">
        <f aca="false">IF(B121="","",IF(AND(M121="Approved",N121&lt;&gt;"",O121&lt;&gt;"",Q121="OK"),"Ready","Not yet"))</f>
        <v/>
      </c>
    </row>
    <row r="122" customFormat="false" ht="15" hidden="false" customHeight="true" outlineLevel="0" collapsed="false">
      <c r="A122" s="11"/>
      <c r="B122" s="11"/>
      <c r="C122" s="11"/>
      <c r="D122" s="11"/>
      <c r="E122" s="11"/>
      <c r="F122" s="11"/>
      <c r="G122" s="11"/>
      <c r="H122" s="11"/>
      <c r="I122" s="11"/>
      <c r="J122" s="11"/>
      <c r="K122" s="11"/>
      <c r="L122" s="11"/>
      <c r="M122" s="11"/>
      <c r="N122" s="11"/>
      <c r="O122" s="15"/>
      <c r="P122" s="11"/>
      <c r="Q122" s="7" t="str">
        <f aca="false">IF(B122="","",IF(SUBSTITUTE(SUBSTITUTE(D122," ",""),"|","")=B122,"OK","Split letters don't match"))</f>
        <v/>
      </c>
      <c r="R122" s="7" t="str">
        <f aca="false">IF(B122="","",IF(AND(M122="Approved",N122&lt;&gt;"",O122&lt;&gt;"",Q122="OK"),"Ready","Not yet"))</f>
        <v/>
      </c>
    </row>
    <row r="123" customFormat="false" ht="15" hidden="false" customHeight="true" outlineLevel="0" collapsed="false">
      <c r="A123" s="11"/>
      <c r="B123" s="11"/>
      <c r="C123" s="11"/>
      <c r="D123" s="11"/>
      <c r="E123" s="11"/>
      <c r="F123" s="11"/>
      <c r="G123" s="11"/>
      <c r="H123" s="11"/>
      <c r="I123" s="11"/>
      <c r="J123" s="11"/>
      <c r="K123" s="11"/>
      <c r="L123" s="11"/>
      <c r="M123" s="11"/>
      <c r="N123" s="11"/>
      <c r="O123" s="15"/>
      <c r="P123" s="11"/>
      <c r="Q123" s="7" t="str">
        <f aca="false">IF(B123="","",IF(SUBSTITUTE(SUBSTITUTE(D123," ",""),"|","")=B123,"OK","Split letters don't match"))</f>
        <v/>
      </c>
      <c r="R123" s="7" t="str">
        <f aca="false">IF(B123="","",IF(AND(M123="Approved",N123&lt;&gt;"",O123&lt;&gt;"",Q123="OK"),"Ready","Not yet"))</f>
        <v/>
      </c>
    </row>
    <row r="124" customFormat="false" ht="15" hidden="false" customHeight="true" outlineLevel="0" collapsed="false">
      <c r="A124" s="11"/>
      <c r="B124" s="11"/>
      <c r="C124" s="11"/>
      <c r="D124" s="11"/>
      <c r="E124" s="11"/>
      <c r="F124" s="11"/>
      <c r="G124" s="11"/>
      <c r="H124" s="11"/>
      <c r="I124" s="11"/>
      <c r="J124" s="11"/>
      <c r="K124" s="11"/>
      <c r="L124" s="11"/>
      <c r="M124" s="11"/>
      <c r="N124" s="11"/>
      <c r="O124" s="15"/>
      <c r="P124" s="11"/>
      <c r="Q124" s="7" t="str">
        <f aca="false">IF(B124="","",IF(SUBSTITUTE(SUBSTITUTE(D124," ",""),"|","")=B124,"OK","Split letters don't match"))</f>
        <v/>
      </c>
      <c r="R124" s="7" t="str">
        <f aca="false">IF(B124="","",IF(AND(M124="Approved",N124&lt;&gt;"",O124&lt;&gt;"",Q124="OK"),"Ready","Not yet"))</f>
        <v/>
      </c>
    </row>
    <row r="125" customFormat="false" ht="15" hidden="false" customHeight="true" outlineLevel="0" collapsed="false">
      <c r="A125" s="11"/>
      <c r="B125" s="11"/>
      <c r="C125" s="11"/>
      <c r="D125" s="11"/>
      <c r="E125" s="11"/>
      <c r="F125" s="11"/>
      <c r="G125" s="11"/>
      <c r="H125" s="11"/>
      <c r="I125" s="11"/>
      <c r="J125" s="11"/>
      <c r="K125" s="11"/>
      <c r="L125" s="11"/>
      <c r="M125" s="11"/>
      <c r="N125" s="11"/>
      <c r="O125" s="15"/>
      <c r="P125" s="11"/>
      <c r="Q125" s="7" t="str">
        <f aca="false">IF(B125="","",IF(SUBSTITUTE(SUBSTITUTE(D125," ",""),"|","")=B125,"OK","Split letters don't match"))</f>
        <v/>
      </c>
      <c r="R125" s="7" t="str">
        <f aca="false">IF(B125="","",IF(AND(M125="Approved",N125&lt;&gt;"",O125&lt;&gt;"",Q125="OK"),"Ready","Not yet"))</f>
        <v/>
      </c>
    </row>
    <row r="126" customFormat="false" ht="15" hidden="false" customHeight="true" outlineLevel="0" collapsed="false">
      <c r="A126" s="11"/>
      <c r="B126" s="11"/>
      <c r="C126" s="11"/>
      <c r="D126" s="11"/>
      <c r="E126" s="11"/>
      <c r="F126" s="11"/>
      <c r="G126" s="11"/>
      <c r="H126" s="11"/>
      <c r="I126" s="11"/>
      <c r="J126" s="11"/>
      <c r="K126" s="11"/>
      <c r="L126" s="11"/>
      <c r="M126" s="11"/>
      <c r="N126" s="11"/>
      <c r="O126" s="15"/>
      <c r="P126" s="11"/>
      <c r="Q126" s="7" t="str">
        <f aca="false">IF(B126="","",IF(SUBSTITUTE(SUBSTITUTE(D126," ",""),"|","")=B126,"OK","Split letters don't match"))</f>
        <v/>
      </c>
      <c r="R126" s="7" t="str">
        <f aca="false">IF(B126="","",IF(AND(M126="Approved",N126&lt;&gt;"",O126&lt;&gt;"",Q126="OK"),"Ready","Not yet"))</f>
        <v/>
      </c>
    </row>
    <row r="127" customFormat="false" ht="15" hidden="false" customHeight="true" outlineLevel="0" collapsed="false">
      <c r="A127" s="11"/>
      <c r="B127" s="11"/>
      <c r="C127" s="11"/>
      <c r="D127" s="11"/>
      <c r="E127" s="11"/>
      <c r="F127" s="11"/>
      <c r="G127" s="11"/>
      <c r="H127" s="11"/>
      <c r="I127" s="11"/>
      <c r="J127" s="11"/>
      <c r="K127" s="11"/>
      <c r="L127" s="11"/>
      <c r="M127" s="11"/>
      <c r="N127" s="11"/>
      <c r="O127" s="15"/>
      <c r="P127" s="11"/>
      <c r="Q127" s="7" t="str">
        <f aca="false">IF(B127="","",IF(SUBSTITUTE(SUBSTITUTE(D127," ",""),"|","")=B127,"OK","Split letters don't match"))</f>
        <v/>
      </c>
      <c r="R127" s="7" t="str">
        <f aca="false">IF(B127="","",IF(AND(M127="Approved",N127&lt;&gt;"",O127&lt;&gt;"",Q127="OK"),"Ready","Not yet"))</f>
        <v/>
      </c>
    </row>
    <row r="128" customFormat="false" ht="15" hidden="false" customHeight="true" outlineLevel="0" collapsed="false">
      <c r="A128" s="11"/>
      <c r="B128" s="11"/>
      <c r="C128" s="11"/>
      <c r="D128" s="11"/>
      <c r="E128" s="11"/>
      <c r="F128" s="11"/>
      <c r="G128" s="11"/>
      <c r="H128" s="11"/>
      <c r="I128" s="11"/>
      <c r="J128" s="11"/>
      <c r="K128" s="11"/>
      <c r="L128" s="11"/>
      <c r="M128" s="11"/>
      <c r="N128" s="11"/>
      <c r="O128" s="15"/>
      <c r="P128" s="11"/>
      <c r="Q128" s="7" t="str">
        <f aca="false">IF(B128="","",IF(SUBSTITUTE(SUBSTITUTE(D128," ",""),"|","")=B128,"OK","Split letters don't match"))</f>
        <v/>
      </c>
      <c r="R128" s="7" t="str">
        <f aca="false">IF(B128="","",IF(AND(M128="Approved",N128&lt;&gt;"",O128&lt;&gt;"",Q128="OK"),"Ready","Not yet"))</f>
        <v/>
      </c>
    </row>
    <row r="129" customFormat="false" ht="15" hidden="false" customHeight="true" outlineLevel="0" collapsed="false">
      <c r="A129" s="11"/>
      <c r="B129" s="11"/>
      <c r="C129" s="11"/>
      <c r="D129" s="11"/>
      <c r="E129" s="11"/>
      <c r="F129" s="11"/>
      <c r="G129" s="11"/>
      <c r="H129" s="11"/>
      <c r="I129" s="11"/>
      <c r="J129" s="11"/>
      <c r="K129" s="11"/>
      <c r="L129" s="11"/>
      <c r="M129" s="11"/>
      <c r="N129" s="11"/>
      <c r="O129" s="15"/>
      <c r="P129" s="11"/>
      <c r="Q129" s="7" t="str">
        <f aca="false">IF(B129="","",IF(SUBSTITUTE(SUBSTITUTE(D129," ",""),"|","")=B129,"OK","Split letters don't match"))</f>
        <v/>
      </c>
      <c r="R129" s="7" t="str">
        <f aca="false">IF(B129="","",IF(AND(M129="Approved",N129&lt;&gt;"",O129&lt;&gt;"",Q129="OK"),"Ready","Not yet"))</f>
        <v/>
      </c>
    </row>
    <row r="130" customFormat="false" ht="15" hidden="false" customHeight="true" outlineLevel="0" collapsed="false">
      <c r="A130" s="11"/>
      <c r="B130" s="11"/>
      <c r="C130" s="11"/>
      <c r="D130" s="11"/>
      <c r="E130" s="11"/>
      <c r="F130" s="11"/>
      <c r="G130" s="11"/>
      <c r="H130" s="11"/>
      <c r="I130" s="11"/>
      <c r="J130" s="11"/>
      <c r="K130" s="11"/>
      <c r="L130" s="11"/>
      <c r="M130" s="11"/>
      <c r="N130" s="11"/>
      <c r="O130" s="15"/>
      <c r="P130" s="11"/>
      <c r="Q130" s="7" t="str">
        <f aca="false">IF(B130="","",IF(SUBSTITUTE(SUBSTITUTE(D130," ",""),"|","")=B130,"OK","Split letters don't match"))</f>
        <v/>
      </c>
      <c r="R130" s="7" t="str">
        <f aca="false">IF(B130="","",IF(AND(M130="Approved",N130&lt;&gt;"",O130&lt;&gt;"",Q130="OK"),"Ready","Not yet"))</f>
        <v/>
      </c>
    </row>
    <row r="131" customFormat="false" ht="15" hidden="false" customHeight="true" outlineLevel="0" collapsed="false">
      <c r="A131" s="11"/>
      <c r="B131" s="11"/>
      <c r="C131" s="11"/>
      <c r="D131" s="11"/>
      <c r="E131" s="11"/>
      <c r="F131" s="11"/>
      <c r="G131" s="11"/>
      <c r="H131" s="11"/>
      <c r="I131" s="11"/>
      <c r="J131" s="11"/>
      <c r="K131" s="11"/>
      <c r="L131" s="11"/>
      <c r="M131" s="11"/>
      <c r="N131" s="11"/>
      <c r="O131" s="15"/>
      <c r="P131" s="11"/>
      <c r="Q131" s="7" t="str">
        <f aca="false">IF(B131="","",IF(SUBSTITUTE(SUBSTITUTE(D131," ",""),"|","")=B131,"OK","Split letters don't match"))</f>
        <v/>
      </c>
      <c r="R131" s="7" t="str">
        <f aca="false">IF(B131="","",IF(AND(M131="Approved",N131&lt;&gt;"",O131&lt;&gt;"",Q131="OK"),"Ready","Not yet"))</f>
        <v/>
      </c>
    </row>
    <row r="132" customFormat="false" ht="15" hidden="false" customHeight="true" outlineLevel="0" collapsed="false">
      <c r="A132" s="11"/>
      <c r="B132" s="11"/>
      <c r="C132" s="11"/>
      <c r="D132" s="11"/>
      <c r="E132" s="11"/>
      <c r="F132" s="11"/>
      <c r="G132" s="11"/>
      <c r="H132" s="11"/>
      <c r="I132" s="11"/>
      <c r="J132" s="11"/>
      <c r="K132" s="11"/>
      <c r="L132" s="11"/>
      <c r="M132" s="11"/>
      <c r="N132" s="11"/>
      <c r="O132" s="15"/>
      <c r="P132" s="11"/>
      <c r="Q132" s="7" t="str">
        <f aca="false">IF(B132="","",IF(SUBSTITUTE(SUBSTITUTE(D132," ",""),"|","")=B132,"OK","Split letters don't match"))</f>
        <v/>
      </c>
      <c r="R132" s="7" t="str">
        <f aca="false">IF(B132="","",IF(AND(M132="Approved",N132&lt;&gt;"",O132&lt;&gt;"",Q132="OK"),"Ready","Not yet"))</f>
        <v/>
      </c>
    </row>
    <row r="133" customFormat="false" ht="15" hidden="false" customHeight="true" outlineLevel="0" collapsed="false">
      <c r="A133" s="11"/>
      <c r="B133" s="11"/>
      <c r="C133" s="11"/>
      <c r="D133" s="11"/>
      <c r="E133" s="11"/>
      <c r="F133" s="11"/>
      <c r="G133" s="11"/>
      <c r="H133" s="11"/>
      <c r="I133" s="11"/>
      <c r="J133" s="11"/>
      <c r="K133" s="11"/>
      <c r="L133" s="11"/>
      <c r="M133" s="11"/>
      <c r="N133" s="11"/>
      <c r="O133" s="15"/>
      <c r="P133" s="11"/>
      <c r="Q133" s="7" t="str">
        <f aca="false">IF(B133="","",IF(SUBSTITUTE(SUBSTITUTE(D133," ",""),"|","")=B133,"OK","Split letters don't match"))</f>
        <v/>
      </c>
      <c r="R133" s="7" t="str">
        <f aca="false">IF(B133="","",IF(AND(M133="Approved",N133&lt;&gt;"",O133&lt;&gt;"",Q133="OK"),"Ready","Not yet"))</f>
        <v/>
      </c>
    </row>
    <row r="134" customFormat="false" ht="15" hidden="false" customHeight="true" outlineLevel="0" collapsed="false">
      <c r="A134" s="11"/>
      <c r="B134" s="11"/>
      <c r="C134" s="11"/>
      <c r="D134" s="11"/>
      <c r="E134" s="11"/>
      <c r="F134" s="11"/>
      <c r="G134" s="11"/>
      <c r="H134" s="11"/>
      <c r="I134" s="11"/>
      <c r="J134" s="11"/>
      <c r="K134" s="11"/>
      <c r="L134" s="11"/>
      <c r="M134" s="11"/>
      <c r="N134" s="11"/>
      <c r="O134" s="15"/>
      <c r="P134" s="11"/>
      <c r="Q134" s="7" t="str">
        <f aca="false">IF(B134="","",IF(SUBSTITUTE(SUBSTITUTE(D134," ",""),"|","")=B134,"OK","Split letters don't match"))</f>
        <v/>
      </c>
      <c r="R134" s="7" t="str">
        <f aca="false">IF(B134="","",IF(AND(M134="Approved",N134&lt;&gt;"",O134&lt;&gt;"",Q134="OK"),"Ready","Not yet"))</f>
        <v/>
      </c>
    </row>
    <row r="135" customFormat="false" ht="15" hidden="false" customHeight="true" outlineLevel="0" collapsed="false">
      <c r="A135" s="11"/>
      <c r="B135" s="11"/>
      <c r="C135" s="11"/>
      <c r="D135" s="11"/>
      <c r="E135" s="11"/>
      <c r="F135" s="11"/>
      <c r="G135" s="11"/>
      <c r="H135" s="11"/>
      <c r="I135" s="11"/>
      <c r="J135" s="11"/>
      <c r="K135" s="11"/>
      <c r="L135" s="11"/>
      <c r="M135" s="11"/>
      <c r="N135" s="11"/>
      <c r="O135" s="15"/>
      <c r="P135" s="11"/>
      <c r="Q135" s="7" t="str">
        <f aca="false">IF(B135="","",IF(SUBSTITUTE(SUBSTITUTE(D135," ",""),"|","")=B135,"OK","Split letters don't match"))</f>
        <v/>
      </c>
      <c r="R135" s="7" t="str">
        <f aca="false">IF(B135="","",IF(AND(M135="Approved",N135&lt;&gt;"",O135&lt;&gt;"",Q135="OK"),"Ready","Not yet"))</f>
        <v/>
      </c>
    </row>
    <row r="136" customFormat="false" ht="15" hidden="false" customHeight="true" outlineLevel="0" collapsed="false">
      <c r="A136" s="11"/>
      <c r="B136" s="11"/>
      <c r="C136" s="11"/>
      <c r="D136" s="11"/>
      <c r="E136" s="11"/>
      <c r="F136" s="11"/>
      <c r="G136" s="11"/>
      <c r="H136" s="11"/>
      <c r="I136" s="11"/>
      <c r="J136" s="11"/>
      <c r="K136" s="11"/>
      <c r="L136" s="11"/>
      <c r="M136" s="11"/>
      <c r="N136" s="11"/>
      <c r="O136" s="15"/>
      <c r="P136" s="11"/>
      <c r="Q136" s="7" t="str">
        <f aca="false">IF(B136="","",IF(SUBSTITUTE(SUBSTITUTE(D136," ",""),"|","")=B136,"OK","Split letters don't match"))</f>
        <v/>
      </c>
      <c r="R136" s="7" t="str">
        <f aca="false">IF(B136="","",IF(AND(M136="Approved",N136&lt;&gt;"",O136&lt;&gt;"",Q136="OK"),"Ready","Not yet"))</f>
        <v/>
      </c>
    </row>
    <row r="137" customFormat="false" ht="15" hidden="false" customHeight="true" outlineLevel="0" collapsed="false">
      <c r="A137" s="11"/>
      <c r="B137" s="11"/>
      <c r="C137" s="11"/>
      <c r="D137" s="11"/>
      <c r="E137" s="11"/>
      <c r="F137" s="11"/>
      <c r="G137" s="11"/>
      <c r="H137" s="11"/>
      <c r="I137" s="11"/>
      <c r="J137" s="11"/>
      <c r="K137" s="11"/>
      <c r="L137" s="11"/>
      <c r="M137" s="11"/>
      <c r="N137" s="11"/>
      <c r="O137" s="15"/>
      <c r="P137" s="11"/>
      <c r="Q137" s="7" t="str">
        <f aca="false">IF(B137="","",IF(SUBSTITUTE(SUBSTITUTE(D137," ",""),"|","")=B137,"OK","Split letters don't match"))</f>
        <v/>
      </c>
      <c r="R137" s="7" t="str">
        <f aca="false">IF(B137="","",IF(AND(M137="Approved",N137&lt;&gt;"",O137&lt;&gt;"",Q137="OK"),"Ready","Not yet"))</f>
        <v/>
      </c>
    </row>
    <row r="138" customFormat="false" ht="15" hidden="false" customHeight="true" outlineLevel="0" collapsed="false">
      <c r="A138" s="11"/>
      <c r="B138" s="11"/>
      <c r="C138" s="11"/>
      <c r="D138" s="11"/>
      <c r="E138" s="11"/>
      <c r="F138" s="11"/>
      <c r="G138" s="11"/>
      <c r="H138" s="11"/>
      <c r="I138" s="11"/>
      <c r="J138" s="11"/>
      <c r="K138" s="11"/>
      <c r="L138" s="11"/>
      <c r="M138" s="11"/>
      <c r="N138" s="11"/>
      <c r="O138" s="15"/>
      <c r="P138" s="11"/>
      <c r="Q138" s="7" t="str">
        <f aca="false">IF(B138="","",IF(SUBSTITUTE(SUBSTITUTE(D138," ",""),"|","")=B138,"OK","Split letters don't match"))</f>
        <v/>
      </c>
      <c r="R138" s="7" t="str">
        <f aca="false">IF(B138="","",IF(AND(M138="Approved",N138&lt;&gt;"",O138&lt;&gt;"",Q138="OK"),"Ready","Not yet"))</f>
        <v/>
      </c>
    </row>
    <row r="139" customFormat="false" ht="15" hidden="false" customHeight="true" outlineLevel="0" collapsed="false">
      <c r="A139" s="11"/>
      <c r="B139" s="11"/>
      <c r="C139" s="11"/>
      <c r="D139" s="11"/>
      <c r="E139" s="11"/>
      <c r="F139" s="11"/>
      <c r="G139" s="11"/>
      <c r="H139" s="11"/>
      <c r="I139" s="11"/>
      <c r="J139" s="11"/>
      <c r="K139" s="11"/>
      <c r="L139" s="11"/>
      <c r="M139" s="11"/>
      <c r="N139" s="11"/>
      <c r="O139" s="15"/>
      <c r="P139" s="11"/>
      <c r="Q139" s="7" t="str">
        <f aca="false">IF(B139="","",IF(SUBSTITUTE(SUBSTITUTE(D139," ",""),"|","")=B139,"OK","Split letters don't match"))</f>
        <v/>
      </c>
      <c r="R139" s="7" t="str">
        <f aca="false">IF(B139="","",IF(AND(M139="Approved",N139&lt;&gt;"",O139&lt;&gt;"",Q139="OK"),"Ready","Not yet"))</f>
        <v/>
      </c>
    </row>
    <row r="140" customFormat="false" ht="15" hidden="false" customHeight="true" outlineLevel="0" collapsed="false">
      <c r="A140" s="11"/>
      <c r="B140" s="11"/>
      <c r="C140" s="11"/>
      <c r="D140" s="11"/>
      <c r="E140" s="11"/>
      <c r="F140" s="11"/>
      <c r="G140" s="11"/>
      <c r="H140" s="11"/>
      <c r="I140" s="11"/>
      <c r="J140" s="11"/>
      <c r="K140" s="11"/>
      <c r="L140" s="11"/>
      <c r="M140" s="11"/>
      <c r="N140" s="11"/>
      <c r="O140" s="15"/>
      <c r="P140" s="11"/>
      <c r="Q140" s="7" t="str">
        <f aca="false">IF(B140="","",IF(SUBSTITUTE(SUBSTITUTE(D140," ",""),"|","")=B140,"OK","Split letters don't match"))</f>
        <v/>
      </c>
      <c r="R140" s="7" t="str">
        <f aca="false">IF(B140="","",IF(AND(M140="Approved",N140&lt;&gt;"",O140&lt;&gt;"",Q140="OK"),"Ready","Not yet"))</f>
        <v/>
      </c>
    </row>
    <row r="141" customFormat="false" ht="15" hidden="false" customHeight="true" outlineLevel="0" collapsed="false">
      <c r="A141" s="11"/>
      <c r="B141" s="11"/>
      <c r="C141" s="11"/>
      <c r="D141" s="11"/>
      <c r="E141" s="11"/>
      <c r="F141" s="11"/>
      <c r="G141" s="11"/>
      <c r="H141" s="11"/>
      <c r="I141" s="11"/>
      <c r="J141" s="11"/>
      <c r="K141" s="11"/>
      <c r="L141" s="11"/>
      <c r="M141" s="11"/>
      <c r="N141" s="11"/>
      <c r="O141" s="15"/>
      <c r="P141" s="11"/>
      <c r="Q141" s="7" t="str">
        <f aca="false">IF(B141="","",IF(SUBSTITUTE(SUBSTITUTE(D141," ",""),"|","")=B141,"OK","Split letters don't match"))</f>
        <v/>
      </c>
      <c r="R141" s="7" t="str">
        <f aca="false">IF(B141="","",IF(AND(M141="Approved",N141&lt;&gt;"",O141&lt;&gt;"",Q141="OK"),"Ready","Not yet"))</f>
        <v/>
      </c>
    </row>
    <row r="142" customFormat="false" ht="15" hidden="false" customHeight="true" outlineLevel="0" collapsed="false">
      <c r="A142" s="11"/>
      <c r="B142" s="11"/>
      <c r="C142" s="11"/>
      <c r="D142" s="11"/>
      <c r="E142" s="11"/>
      <c r="F142" s="11"/>
      <c r="G142" s="11"/>
      <c r="H142" s="11"/>
      <c r="I142" s="11"/>
      <c r="J142" s="11"/>
      <c r="K142" s="11"/>
      <c r="L142" s="11"/>
      <c r="M142" s="11"/>
      <c r="N142" s="11"/>
      <c r="O142" s="15"/>
      <c r="P142" s="11"/>
      <c r="Q142" s="7" t="str">
        <f aca="false">IF(B142="","",IF(SUBSTITUTE(SUBSTITUTE(D142," ",""),"|","")=B142,"OK","Split letters don't match"))</f>
        <v/>
      </c>
      <c r="R142" s="7" t="str">
        <f aca="false">IF(B142="","",IF(AND(M142="Approved",N142&lt;&gt;"",O142&lt;&gt;"",Q142="OK"),"Ready","Not yet"))</f>
        <v/>
      </c>
    </row>
    <row r="143" customFormat="false" ht="15" hidden="false" customHeight="true" outlineLevel="0" collapsed="false">
      <c r="A143" s="11"/>
      <c r="B143" s="11"/>
      <c r="C143" s="11"/>
      <c r="D143" s="11"/>
      <c r="E143" s="11"/>
      <c r="F143" s="11"/>
      <c r="G143" s="11"/>
      <c r="H143" s="11"/>
      <c r="I143" s="11"/>
      <c r="J143" s="11"/>
      <c r="K143" s="11"/>
      <c r="L143" s="11"/>
      <c r="M143" s="11"/>
      <c r="N143" s="11"/>
      <c r="O143" s="15"/>
      <c r="P143" s="11"/>
      <c r="Q143" s="7" t="str">
        <f aca="false">IF(B143="","",IF(SUBSTITUTE(SUBSTITUTE(D143," ",""),"|","")=B143,"OK","Split letters don't match"))</f>
        <v/>
      </c>
      <c r="R143" s="7" t="str">
        <f aca="false">IF(B143="","",IF(AND(M143="Approved",N143&lt;&gt;"",O143&lt;&gt;"",Q143="OK"),"Ready","Not yet"))</f>
        <v/>
      </c>
    </row>
    <row r="144" customFormat="false" ht="15" hidden="false" customHeight="true" outlineLevel="0" collapsed="false">
      <c r="A144" s="11"/>
      <c r="B144" s="11"/>
      <c r="C144" s="11"/>
      <c r="D144" s="11"/>
      <c r="E144" s="11"/>
      <c r="F144" s="11"/>
      <c r="G144" s="11"/>
      <c r="H144" s="11"/>
      <c r="I144" s="11"/>
      <c r="J144" s="11"/>
      <c r="K144" s="11"/>
      <c r="L144" s="11"/>
      <c r="M144" s="11"/>
      <c r="N144" s="11"/>
      <c r="O144" s="15"/>
      <c r="P144" s="11"/>
      <c r="Q144" s="7" t="str">
        <f aca="false">IF(B144="","",IF(SUBSTITUTE(SUBSTITUTE(D144," ",""),"|","")=B144,"OK","Split letters don't match"))</f>
        <v/>
      </c>
      <c r="R144" s="7" t="str">
        <f aca="false">IF(B144="","",IF(AND(M144="Approved",N144&lt;&gt;"",O144&lt;&gt;"",Q144="OK"),"Ready","Not yet"))</f>
        <v/>
      </c>
    </row>
    <row r="145" customFormat="false" ht="15" hidden="false" customHeight="true" outlineLevel="0" collapsed="false">
      <c r="A145" s="11"/>
      <c r="B145" s="11"/>
      <c r="C145" s="11"/>
      <c r="D145" s="11"/>
      <c r="E145" s="11"/>
      <c r="F145" s="11"/>
      <c r="G145" s="11"/>
      <c r="H145" s="11"/>
      <c r="I145" s="11"/>
      <c r="J145" s="11"/>
      <c r="K145" s="11"/>
      <c r="L145" s="11"/>
      <c r="M145" s="11"/>
      <c r="N145" s="11"/>
      <c r="O145" s="15"/>
      <c r="P145" s="11"/>
      <c r="Q145" s="7" t="str">
        <f aca="false">IF(B145="","",IF(SUBSTITUTE(SUBSTITUTE(D145," ",""),"|","")=B145,"OK","Split letters don't match"))</f>
        <v/>
      </c>
      <c r="R145" s="7" t="str">
        <f aca="false">IF(B145="","",IF(AND(M145="Approved",N145&lt;&gt;"",O145&lt;&gt;"",Q145="OK"),"Ready","Not yet"))</f>
        <v/>
      </c>
    </row>
    <row r="146" customFormat="false" ht="15" hidden="false" customHeight="true" outlineLevel="0" collapsed="false">
      <c r="A146" s="11"/>
      <c r="B146" s="11"/>
      <c r="C146" s="11"/>
      <c r="D146" s="11"/>
      <c r="E146" s="11"/>
      <c r="F146" s="11"/>
      <c r="G146" s="11"/>
      <c r="H146" s="11"/>
      <c r="I146" s="11"/>
      <c r="J146" s="11"/>
      <c r="K146" s="11"/>
      <c r="L146" s="11"/>
      <c r="M146" s="11"/>
      <c r="N146" s="11"/>
      <c r="O146" s="15"/>
      <c r="P146" s="11"/>
      <c r="Q146" s="7" t="str">
        <f aca="false">IF(B146="","",IF(SUBSTITUTE(SUBSTITUTE(D146," ",""),"|","")=B146,"OK","Split letters don't match"))</f>
        <v/>
      </c>
      <c r="R146" s="7" t="str">
        <f aca="false">IF(B146="","",IF(AND(M146="Approved",N146&lt;&gt;"",O146&lt;&gt;"",Q146="OK"),"Ready","Not yet"))</f>
        <v/>
      </c>
    </row>
    <row r="147" customFormat="false" ht="15" hidden="false" customHeight="true" outlineLevel="0" collapsed="false">
      <c r="A147" s="11"/>
      <c r="B147" s="11"/>
      <c r="C147" s="11"/>
      <c r="D147" s="11"/>
      <c r="E147" s="11"/>
      <c r="F147" s="11"/>
      <c r="G147" s="11"/>
      <c r="H147" s="11"/>
      <c r="I147" s="11"/>
      <c r="J147" s="11"/>
      <c r="K147" s="11"/>
      <c r="L147" s="11"/>
      <c r="M147" s="11"/>
      <c r="N147" s="11"/>
      <c r="O147" s="15"/>
      <c r="P147" s="11"/>
      <c r="Q147" s="7" t="str">
        <f aca="false">IF(B147="","",IF(SUBSTITUTE(SUBSTITUTE(D147," ",""),"|","")=B147,"OK","Split letters don't match"))</f>
        <v/>
      </c>
      <c r="R147" s="7" t="str">
        <f aca="false">IF(B147="","",IF(AND(M147="Approved",N147&lt;&gt;"",O147&lt;&gt;"",Q147="OK"),"Ready","Not yet"))</f>
        <v/>
      </c>
    </row>
    <row r="148" customFormat="false" ht="15" hidden="false" customHeight="true" outlineLevel="0" collapsed="false">
      <c r="A148" s="11"/>
      <c r="B148" s="11"/>
      <c r="C148" s="11"/>
      <c r="D148" s="11"/>
      <c r="E148" s="11"/>
      <c r="F148" s="11"/>
      <c r="G148" s="11"/>
      <c r="H148" s="11"/>
      <c r="I148" s="11"/>
      <c r="J148" s="11"/>
      <c r="K148" s="11"/>
      <c r="L148" s="11"/>
      <c r="M148" s="11"/>
      <c r="N148" s="11"/>
      <c r="O148" s="15"/>
      <c r="P148" s="11"/>
      <c r="Q148" s="7" t="str">
        <f aca="false">IF(B148="","",IF(SUBSTITUTE(SUBSTITUTE(D148," ",""),"|","")=B148,"OK","Split letters don't match"))</f>
        <v/>
      </c>
      <c r="R148" s="7" t="str">
        <f aca="false">IF(B148="","",IF(AND(M148="Approved",N148&lt;&gt;"",O148&lt;&gt;"",Q148="OK"),"Ready","Not yet"))</f>
        <v/>
      </c>
    </row>
    <row r="149" customFormat="false" ht="15" hidden="false" customHeight="true" outlineLevel="0" collapsed="false">
      <c r="A149" s="11"/>
      <c r="B149" s="11"/>
      <c r="C149" s="11"/>
      <c r="D149" s="11"/>
      <c r="E149" s="11"/>
      <c r="F149" s="11"/>
      <c r="G149" s="11"/>
      <c r="H149" s="11"/>
      <c r="I149" s="11"/>
      <c r="J149" s="11"/>
      <c r="K149" s="11"/>
      <c r="L149" s="11"/>
      <c r="M149" s="11"/>
      <c r="N149" s="11"/>
      <c r="O149" s="15"/>
      <c r="P149" s="11"/>
      <c r="Q149" s="7" t="str">
        <f aca="false">IF(B149="","",IF(SUBSTITUTE(SUBSTITUTE(D149," ",""),"|","")=B149,"OK","Split letters don't match"))</f>
        <v/>
      </c>
      <c r="R149" s="7" t="str">
        <f aca="false">IF(B149="","",IF(AND(M149="Approved",N149&lt;&gt;"",O149&lt;&gt;"",Q149="OK"),"Ready","Not yet"))</f>
        <v/>
      </c>
    </row>
    <row r="150" customFormat="false" ht="15" hidden="false" customHeight="true" outlineLevel="0" collapsed="false">
      <c r="A150" s="11"/>
      <c r="B150" s="11"/>
      <c r="C150" s="11"/>
      <c r="D150" s="11"/>
      <c r="E150" s="11"/>
      <c r="F150" s="11"/>
      <c r="G150" s="11"/>
      <c r="H150" s="11"/>
      <c r="I150" s="11"/>
      <c r="J150" s="11"/>
      <c r="K150" s="11"/>
      <c r="L150" s="11"/>
      <c r="M150" s="11"/>
      <c r="N150" s="11"/>
      <c r="O150" s="15"/>
      <c r="P150" s="11"/>
      <c r="Q150" s="7" t="str">
        <f aca="false">IF(B150="","",IF(SUBSTITUTE(SUBSTITUTE(D150," ",""),"|","")=B150,"OK","Split letters don't match"))</f>
        <v/>
      </c>
      <c r="R150" s="7" t="str">
        <f aca="false">IF(B150="","",IF(AND(M150="Approved",N150&lt;&gt;"",O150&lt;&gt;"",Q150="OK"),"Ready","Not yet"))</f>
        <v/>
      </c>
    </row>
    <row r="151" customFormat="false" ht="15" hidden="false" customHeight="true" outlineLevel="0" collapsed="false">
      <c r="A151" s="11"/>
      <c r="B151" s="11"/>
      <c r="C151" s="11"/>
      <c r="D151" s="11"/>
      <c r="E151" s="11"/>
      <c r="F151" s="11"/>
      <c r="G151" s="11"/>
      <c r="H151" s="11"/>
      <c r="I151" s="11"/>
      <c r="J151" s="11"/>
      <c r="K151" s="11"/>
      <c r="L151" s="11"/>
      <c r="M151" s="11"/>
      <c r="N151" s="11"/>
      <c r="O151" s="15"/>
      <c r="P151" s="11"/>
      <c r="Q151" s="7" t="str">
        <f aca="false">IF(B151="","",IF(SUBSTITUTE(SUBSTITUTE(D151," ",""),"|","")=B151,"OK","Split letters don't match"))</f>
        <v/>
      </c>
      <c r="R151" s="7" t="str">
        <f aca="false">IF(B151="","",IF(AND(M151="Approved",N151&lt;&gt;"",O151&lt;&gt;"",Q151="OK"),"Ready","Not yet"))</f>
        <v/>
      </c>
    </row>
    <row r="152" customFormat="false" ht="15" hidden="false" customHeight="true" outlineLevel="0" collapsed="false">
      <c r="A152" s="11"/>
      <c r="B152" s="11"/>
      <c r="C152" s="11"/>
      <c r="D152" s="11"/>
      <c r="E152" s="11"/>
      <c r="F152" s="11"/>
      <c r="G152" s="11"/>
      <c r="H152" s="11"/>
      <c r="I152" s="11"/>
      <c r="J152" s="11"/>
      <c r="K152" s="11"/>
      <c r="L152" s="11"/>
      <c r="M152" s="11"/>
      <c r="N152" s="11"/>
      <c r="O152" s="15"/>
      <c r="P152" s="11"/>
      <c r="Q152" s="7" t="str">
        <f aca="false">IF(B152="","",IF(SUBSTITUTE(SUBSTITUTE(D152," ",""),"|","")=B152,"OK","Split letters don't match"))</f>
        <v/>
      </c>
      <c r="R152" s="7" t="str">
        <f aca="false">IF(B152="","",IF(AND(M152="Approved",N152&lt;&gt;"",O152&lt;&gt;"",Q152="OK"),"Ready","Not yet"))</f>
        <v/>
      </c>
    </row>
    <row r="153" customFormat="false" ht="15" hidden="false" customHeight="true" outlineLevel="0" collapsed="false">
      <c r="A153" s="11"/>
      <c r="B153" s="11"/>
      <c r="C153" s="11"/>
      <c r="D153" s="11"/>
      <c r="E153" s="11"/>
      <c r="F153" s="11"/>
      <c r="G153" s="11"/>
      <c r="H153" s="11"/>
      <c r="I153" s="11"/>
      <c r="J153" s="11"/>
      <c r="K153" s="11"/>
      <c r="L153" s="11"/>
      <c r="M153" s="11"/>
      <c r="N153" s="11"/>
      <c r="O153" s="15"/>
      <c r="P153" s="11"/>
      <c r="Q153" s="7" t="str">
        <f aca="false">IF(B153="","",IF(SUBSTITUTE(SUBSTITUTE(D153," ",""),"|","")=B153,"OK","Split letters don't match"))</f>
        <v/>
      </c>
      <c r="R153" s="7" t="str">
        <f aca="false">IF(B153="","",IF(AND(M153="Approved",N153&lt;&gt;"",O153&lt;&gt;"",Q153="OK"),"Ready","Not yet"))</f>
        <v/>
      </c>
    </row>
    <row r="154" customFormat="false" ht="15" hidden="false" customHeight="true" outlineLevel="0" collapsed="false">
      <c r="A154" s="11"/>
      <c r="B154" s="11"/>
      <c r="C154" s="11"/>
      <c r="D154" s="11"/>
      <c r="E154" s="11"/>
      <c r="F154" s="11"/>
      <c r="G154" s="11"/>
      <c r="H154" s="11"/>
      <c r="I154" s="11"/>
      <c r="J154" s="11"/>
      <c r="K154" s="11"/>
      <c r="L154" s="11"/>
      <c r="M154" s="11"/>
      <c r="N154" s="11"/>
      <c r="O154" s="15"/>
      <c r="P154" s="11"/>
      <c r="Q154" s="7" t="str">
        <f aca="false">IF(B154="","",IF(SUBSTITUTE(SUBSTITUTE(D154," ",""),"|","")=B154,"OK","Split letters don't match"))</f>
        <v/>
      </c>
      <c r="R154" s="7" t="str">
        <f aca="false">IF(B154="","",IF(AND(M154="Approved",N154&lt;&gt;"",O154&lt;&gt;"",Q154="OK"),"Ready","Not yet"))</f>
        <v/>
      </c>
    </row>
    <row r="155" customFormat="false" ht="15" hidden="false" customHeight="true" outlineLevel="0" collapsed="false">
      <c r="A155" s="11"/>
      <c r="B155" s="11"/>
      <c r="C155" s="11"/>
      <c r="D155" s="11"/>
      <c r="E155" s="11"/>
      <c r="F155" s="11"/>
      <c r="G155" s="11"/>
      <c r="H155" s="11"/>
      <c r="I155" s="11"/>
      <c r="J155" s="11"/>
      <c r="K155" s="11"/>
      <c r="L155" s="11"/>
      <c r="M155" s="11"/>
      <c r="N155" s="11"/>
      <c r="O155" s="15"/>
      <c r="P155" s="11"/>
      <c r="Q155" s="7" t="str">
        <f aca="false">IF(B155="","",IF(SUBSTITUTE(SUBSTITUTE(D155," ",""),"|","")=B155,"OK","Split letters don't match"))</f>
        <v/>
      </c>
      <c r="R155" s="7" t="str">
        <f aca="false">IF(B155="","",IF(AND(M155="Approved",N155&lt;&gt;"",O155&lt;&gt;"",Q155="OK"),"Ready","Not yet"))</f>
        <v/>
      </c>
    </row>
    <row r="156" customFormat="false" ht="15" hidden="false" customHeight="true" outlineLevel="0" collapsed="false">
      <c r="A156" s="11"/>
      <c r="B156" s="11"/>
      <c r="C156" s="11"/>
      <c r="D156" s="11"/>
      <c r="E156" s="11"/>
      <c r="F156" s="11"/>
      <c r="G156" s="11"/>
      <c r="H156" s="11"/>
      <c r="I156" s="11"/>
      <c r="J156" s="11"/>
      <c r="K156" s="11"/>
      <c r="L156" s="11"/>
      <c r="M156" s="11"/>
      <c r="N156" s="11"/>
      <c r="O156" s="15"/>
      <c r="P156" s="11"/>
      <c r="Q156" s="7" t="str">
        <f aca="false">IF(B156="","",IF(SUBSTITUTE(SUBSTITUTE(D156," ",""),"|","")=B156,"OK","Split letters don't match"))</f>
        <v/>
      </c>
      <c r="R156" s="7" t="str">
        <f aca="false">IF(B156="","",IF(AND(M156="Approved",N156&lt;&gt;"",O156&lt;&gt;"",Q156="OK"),"Ready","Not yet"))</f>
        <v/>
      </c>
    </row>
    <row r="157" customFormat="false" ht="15" hidden="false" customHeight="true" outlineLevel="0" collapsed="false">
      <c r="A157" s="11"/>
      <c r="B157" s="11"/>
      <c r="C157" s="11"/>
      <c r="D157" s="11"/>
      <c r="E157" s="11"/>
      <c r="F157" s="11"/>
      <c r="G157" s="11"/>
      <c r="H157" s="11"/>
      <c r="I157" s="11"/>
      <c r="J157" s="11"/>
      <c r="K157" s="11"/>
      <c r="L157" s="11"/>
      <c r="M157" s="11"/>
      <c r="N157" s="11"/>
      <c r="O157" s="15"/>
      <c r="P157" s="11"/>
      <c r="Q157" s="7" t="str">
        <f aca="false">IF(B157="","",IF(SUBSTITUTE(SUBSTITUTE(D157," ",""),"|","")=B157,"OK","Split letters don't match"))</f>
        <v/>
      </c>
      <c r="R157" s="7" t="str">
        <f aca="false">IF(B157="","",IF(AND(M157="Approved",N157&lt;&gt;"",O157&lt;&gt;"",Q157="OK"),"Ready","Not yet"))</f>
        <v/>
      </c>
    </row>
    <row r="158" customFormat="false" ht="15" hidden="false" customHeight="true" outlineLevel="0" collapsed="false">
      <c r="A158" s="11"/>
      <c r="B158" s="11"/>
      <c r="C158" s="11"/>
      <c r="D158" s="11"/>
      <c r="E158" s="11"/>
      <c r="F158" s="11"/>
      <c r="G158" s="11"/>
      <c r="H158" s="11"/>
      <c r="I158" s="11"/>
      <c r="J158" s="11"/>
      <c r="K158" s="11"/>
      <c r="L158" s="11"/>
      <c r="M158" s="11"/>
      <c r="N158" s="11"/>
      <c r="O158" s="15"/>
      <c r="P158" s="11"/>
      <c r="Q158" s="7" t="str">
        <f aca="false">IF(B158="","",IF(SUBSTITUTE(SUBSTITUTE(D158," ",""),"|","")=B158,"OK","Split letters don't match"))</f>
        <v/>
      </c>
      <c r="R158" s="7" t="str">
        <f aca="false">IF(B158="","",IF(AND(M158="Approved",N158&lt;&gt;"",O158&lt;&gt;"",Q158="OK"),"Ready","Not yet"))</f>
        <v/>
      </c>
    </row>
    <row r="159" customFormat="false" ht="15" hidden="false" customHeight="true" outlineLevel="0" collapsed="false">
      <c r="A159" s="11"/>
      <c r="B159" s="11"/>
      <c r="C159" s="11"/>
      <c r="D159" s="11"/>
      <c r="E159" s="11"/>
      <c r="F159" s="11"/>
      <c r="G159" s="11"/>
      <c r="H159" s="11"/>
      <c r="I159" s="11"/>
      <c r="J159" s="11"/>
      <c r="K159" s="11"/>
      <c r="L159" s="11"/>
      <c r="M159" s="11"/>
      <c r="N159" s="11"/>
      <c r="O159" s="15"/>
      <c r="P159" s="11"/>
      <c r="Q159" s="7" t="str">
        <f aca="false">IF(B159="","",IF(SUBSTITUTE(SUBSTITUTE(D159," ",""),"|","")=B159,"OK","Split letters don't match"))</f>
        <v/>
      </c>
      <c r="R159" s="7" t="str">
        <f aca="false">IF(B159="","",IF(AND(M159="Approved",N159&lt;&gt;"",O159&lt;&gt;"",Q159="OK"),"Ready","Not yet"))</f>
        <v/>
      </c>
    </row>
    <row r="160" customFormat="false" ht="15" hidden="false" customHeight="true" outlineLevel="0" collapsed="false">
      <c r="A160" s="11"/>
      <c r="B160" s="11"/>
      <c r="C160" s="11"/>
      <c r="D160" s="11"/>
      <c r="E160" s="11"/>
      <c r="F160" s="11"/>
      <c r="G160" s="11"/>
      <c r="H160" s="11"/>
      <c r="I160" s="11"/>
      <c r="J160" s="11"/>
      <c r="K160" s="11"/>
      <c r="L160" s="11"/>
      <c r="M160" s="11"/>
      <c r="N160" s="11"/>
      <c r="O160" s="15"/>
      <c r="P160" s="11"/>
      <c r="Q160" s="7" t="str">
        <f aca="false">IF(B160="","",IF(SUBSTITUTE(SUBSTITUTE(D160," ",""),"|","")=B160,"OK","Split letters don't match"))</f>
        <v/>
      </c>
      <c r="R160" s="7" t="str">
        <f aca="false">IF(B160="","",IF(AND(M160="Approved",N160&lt;&gt;"",O160&lt;&gt;"",Q160="OK"),"Ready","Not yet"))</f>
        <v/>
      </c>
    </row>
    <row r="161" customFormat="false" ht="15" hidden="false" customHeight="true" outlineLevel="0" collapsed="false">
      <c r="A161" s="11"/>
      <c r="B161" s="11"/>
      <c r="C161" s="11"/>
      <c r="D161" s="11"/>
      <c r="E161" s="11"/>
      <c r="F161" s="11"/>
      <c r="G161" s="11"/>
      <c r="H161" s="11"/>
      <c r="I161" s="11"/>
      <c r="J161" s="11"/>
      <c r="K161" s="11"/>
      <c r="L161" s="11"/>
      <c r="M161" s="11"/>
      <c r="N161" s="11"/>
      <c r="O161" s="15"/>
      <c r="P161" s="11"/>
      <c r="Q161" s="7" t="str">
        <f aca="false">IF(B161="","",IF(SUBSTITUTE(SUBSTITUTE(D161," ",""),"|","")=B161,"OK","Split letters don't match"))</f>
        <v/>
      </c>
      <c r="R161" s="7" t="str">
        <f aca="false">IF(B161="","",IF(AND(M161="Approved",N161&lt;&gt;"",O161&lt;&gt;"",Q161="OK"),"Ready","Not yet"))</f>
        <v/>
      </c>
    </row>
    <row r="162" customFormat="false" ht="15" hidden="false" customHeight="true" outlineLevel="0" collapsed="false">
      <c r="A162" s="11"/>
      <c r="B162" s="11"/>
      <c r="C162" s="11"/>
      <c r="D162" s="11"/>
      <c r="E162" s="11"/>
      <c r="F162" s="11"/>
      <c r="G162" s="11"/>
      <c r="H162" s="11"/>
      <c r="I162" s="11"/>
      <c r="J162" s="11"/>
      <c r="K162" s="11"/>
      <c r="L162" s="11"/>
      <c r="M162" s="11"/>
      <c r="N162" s="11"/>
      <c r="O162" s="15"/>
      <c r="P162" s="11"/>
      <c r="Q162" s="7" t="str">
        <f aca="false">IF(B162="","",IF(SUBSTITUTE(SUBSTITUTE(D162," ",""),"|","")=B162,"OK","Split letters don't match"))</f>
        <v/>
      </c>
      <c r="R162" s="7" t="str">
        <f aca="false">IF(B162="","",IF(AND(M162="Approved",N162&lt;&gt;"",O162&lt;&gt;"",Q162="OK"),"Ready","Not yet"))</f>
        <v/>
      </c>
    </row>
    <row r="163" customFormat="false" ht="15" hidden="false" customHeight="true" outlineLevel="0" collapsed="false">
      <c r="A163" s="11"/>
      <c r="B163" s="11"/>
      <c r="C163" s="11"/>
      <c r="D163" s="11"/>
      <c r="E163" s="11"/>
      <c r="F163" s="11"/>
      <c r="G163" s="11"/>
      <c r="H163" s="11"/>
      <c r="I163" s="11"/>
      <c r="J163" s="11"/>
      <c r="K163" s="11"/>
      <c r="L163" s="11"/>
      <c r="M163" s="11"/>
      <c r="N163" s="11"/>
      <c r="O163" s="15"/>
      <c r="P163" s="11"/>
      <c r="Q163" s="7" t="str">
        <f aca="false">IF(B163="","",IF(SUBSTITUTE(SUBSTITUTE(D163," ",""),"|","")=B163,"OK","Split letters don't match"))</f>
        <v/>
      </c>
      <c r="R163" s="7" t="str">
        <f aca="false">IF(B163="","",IF(AND(M163="Approved",N163&lt;&gt;"",O163&lt;&gt;"",Q163="OK"),"Ready","Not yet"))</f>
        <v/>
      </c>
    </row>
    <row r="164" customFormat="false" ht="15" hidden="false" customHeight="true" outlineLevel="0" collapsed="false">
      <c r="A164" s="11"/>
      <c r="B164" s="11"/>
      <c r="C164" s="11"/>
      <c r="D164" s="11"/>
      <c r="E164" s="11"/>
      <c r="F164" s="11"/>
      <c r="G164" s="11"/>
      <c r="H164" s="11"/>
      <c r="I164" s="11"/>
      <c r="J164" s="11"/>
      <c r="K164" s="11"/>
      <c r="L164" s="11"/>
      <c r="M164" s="11"/>
      <c r="N164" s="11"/>
      <c r="O164" s="15"/>
      <c r="P164" s="11"/>
      <c r="Q164" s="7" t="str">
        <f aca="false">IF(B164="","",IF(SUBSTITUTE(SUBSTITUTE(D164," ",""),"|","")=B164,"OK","Split letters don't match"))</f>
        <v/>
      </c>
      <c r="R164" s="7" t="str">
        <f aca="false">IF(B164="","",IF(AND(M164="Approved",N164&lt;&gt;"",O164&lt;&gt;"",Q164="OK"),"Ready","Not yet"))</f>
        <v/>
      </c>
    </row>
    <row r="165" customFormat="false" ht="15" hidden="false" customHeight="true" outlineLevel="0" collapsed="false">
      <c r="A165" s="11"/>
      <c r="B165" s="11"/>
      <c r="C165" s="11"/>
      <c r="D165" s="11"/>
      <c r="E165" s="11"/>
      <c r="F165" s="11"/>
      <c r="G165" s="11"/>
      <c r="H165" s="11"/>
      <c r="I165" s="11"/>
      <c r="J165" s="11"/>
      <c r="K165" s="11"/>
      <c r="L165" s="11"/>
      <c r="M165" s="11"/>
      <c r="N165" s="11"/>
      <c r="O165" s="15"/>
      <c r="P165" s="11"/>
      <c r="Q165" s="7" t="str">
        <f aca="false">IF(B165="","",IF(SUBSTITUTE(SUBSTITUTE(D165," ",""),"|","")=B165,"OK","Split letters don't match"))</f>
        <v/>
      </c>
      <c r="R165" s="7" t="str">
        <f aca="false">IF(B165="","",IF(AND(M165="Approved",N165&lt;&gt;"",O165&lt;&gt;"",Q165="OK"),"Ready","Not yet"))</f>
        <v/>
      </c>
    </row>
    <row r="166" customFormat="false" ht="15" hidden="false" customHeight="true" outlineLevel="0" collapsed="false">
      <c r="A166" s="11"/>
      <c r="B166" s="11"/>
      <c r="C166" s="11"/>
      <c r="D166" s="11"/>
      <c r="E166" s="11"/>
      <c r="F166" s="11"/>
      <c r="G166" s="11"/>
      <c r="H166" s="11"/>
      <c r="I166" s="11"/>
      <c r="J166" s="11"/>
      <c r="K166" s="11"/>
      <c r="L166" s="11"/>
      <c r="M166" s="11"/>
      <c r="N166" s="11"/>
      <c r="O166" s="15"/>
      <c r="P166" s="11"/>
      <c r="Q166" s="7" t="str">
        <f aca="false">IF(B166="","",IF(SUBSTITUTE(SUBSTITUTE(D166," ",""),"|","")=B166,"OK","Split letters don't match"))</f>
        <v/>
      </c>
      <c r="R166" s="7" t="str">
        <f aca="false">IF(B166="","",IF(AND(M166="Approved",N166&lt;&gt;"",O166&lt;&gt;"",Q166="OK"),"Ready","Not yet"))</f>
        <v/>
      </c>
    </row>
    <row r="167" customFormat="false" ht="15" hidden="false" customHeight="true" outlineLevel="0" collapsed="false">
      <c r="A167" s="11"/>
      <c r="B167" s="11"/>
      <c r="C167" s="11"/>
      <c r="D167" s="11"/>
      <c r="E167" s="11"/>
      <c r="F167" s="11"/>
      <c r="G167" s="11"/>
      <c r="H167" s="11"/>
      <c r="I167" s="11"/>
      <c r="J167" s="11"/>
      <c r="K167" s="11"/>
      <c r="L167" s="11"/>
      <c r="M167" s="11"/>
      <c r="N167" s="11"/>
      <c r="O167" s="15"/>
      <c r="P167" s="11"/>
      <c r="Q167" s="7" t="str">
        <f aca="false">IF(B167="","",IF(SUBSTITUTE(SUBSTITUTE(D167," ",""),"|","")=B167,"OK","Split letters don't match"))</f>
        <v/>
      </c>
      <c r="R167" s="7" t="str">
        <f aca="false">IF(B167="","",IF(AND(M167="Approved",N167&lt;&gt;"",O167&lt;&gt;"",Q167="OK"),"Ready","Not yet"))</f>
        <v/>
      </c>
    </row>
    <row r="168" customFormat="false" ht="15" hidden="false" customHeight="true" outlineLevel="0" collapsed="false">
      <c r="A168" s="11"/>
      <c r="B168" s="11"/>
      <c r="C168" s="11"/>
      <c r="D168" s="11"/>
      <c r="E168" s="11"/>
      <c r="F168" s="11"/>
      <c r="G168" s="11"/>
      <c r="H168" s="11"/>
      <c r="I168" s="11"/>
      <c r="J168" s="11"/>
      <c r="K168" s="11"/>
      <c r="L168" s="11"/>
      <c r="M168" s="11"/>
      <c r="N168" s="11"/>
      <c r="O168" s="15"/>
      <c r="P168" s="11"/>
      <c r="Q168" s="7" t="str">
        <f aca="false">IF(B168="","",IF(SUBSTITUTE(SUBSTITUTE(D168," ",""),"|","")=B168,"OK","Split letters don't match"))</f>
        <v/>
      </c>
      <c r="R168" s="7" t="str">
        <f aca="false">IF(B168="","",IF(AND(M168="Approved",N168&lt;&gt;"",O168&lt;&gt;"",Q168="OK"),"Ready","Not yet"))</f>
        <v/>
      </c>
    </row>
    <row r="169" customFormat="false" ht="15" hidden="false" customHeight="true" outlineLevel="0" collapsed="false">
      <c r="A169" s="11"/>
      <c r="B169" s="11"/>
      <c r="C169" s="11"/>
      <c r="D169" s="11"/>
      <c r="E169" s="11"/>
      <c r="F169" s="11"/>
      <c r="G169" s="11"/>
      <c r="H169" s="11"/>
      <c r="I169" s="11"/>
      <c r="J169" s="11"/>
      <c r="K169" s="11"/>
      <c r="L169" s="11"/>
      <c r="M169" s="11"/>
      <c r="N169" s="11"/>
      <c r="O169" s="15"/>
      <c r="P169" s="11"/>
      <c r="Q169" s="7" t="str">
        <f aca="false">IF(B169="","",IF(SUBSTITUTE(SUBSTITUTE(D169," ",""),"|","")=B169,"OK","Split letters don't match"))</f>
        <v/>
      </c>
      <c r="R169" s="7" t="str">
        <f aca="false">IF(B169="","",IF(AND(M169="Approved",N169&lt;&gt;"",O169&lt;&gt;"",Q169="OK"),"Ready","Not yet"))</f>
        <v/>
      </c>
    </row>
    <row r="170" customFormat="false" ht="15" hidden="false" customHeight="true" outlineLevel="0" collapsed="false">
      <c r="A170" s="11"/>
      <c r="B170" s="11"/>
      <c r="C170" s="11"/>
      <c r="D170" s="11"/>
      <c r="E170" s="11"/>
      <c r="F170" s="11"/>
      <c r="G170" s="11"/>
      <c r="H170" s="11"/>
      <c r="I170" s="11"/>
      <c r="J170" s="11"/>
      <c r="K170" s="11"/>
      <c r="L170" s="11"/>
      <c r="M170" s="11"/>
      <c r="N170" s="11"/>
      <c r="O170" s="15"/>
      <c r="P170" s="11"/>
      <c r="Q170" s="7" t="str">
        <f aca="false">IF(B170="","",IF(SUBSTITUTE(SUBSTITUTE(D170," ",""),"|","")=B170,"OK","Split letters don't match"))</f>
        <v/>
      </c>
      <c r="R170" s="7" t="str">
        <f aca="false">IF(B170="","",IF(AND(M170="Approved",N170&lt;&gt;"",O170&lt;&gt;"",Q170="OK"),"Ready","Not yet"))</f>
        <v/>
      </c>
    </row>
    <row r="171" customFormat="false" ht="15" hidden="false" customHeight="true" outlineLevel="0" collapsed="false">
      <c r="A171" s="11"/>
      <c r="B171" s="11"/>
      <c r="C171" s="11"/>
      <c r="D171" s="11"/>
      <c r="E171" s="11"/>
      <c r="F171" s="11"/>
      <c r="G171" s="11"/>
      <c r="H171" s="11"/>
      <c r="I171" s="11"/>
      <c r="J171" s="11"/>
      <c r="K171" s="11"/>
      <c r="L171" s="11"/>
      <c r="M171" s="11"/>
      <c r="N171" s="11"/>
      <c r="O171" s="15"/>
      <c r="P171" s="11"/>
      <c r="Q171" s="7" t="str">
        <f aca="false">IF(B171="","",IF(SUBSTITUTE(SUBSTITUTE(D171," ",""),"|","")=B171,"OK","Split letters don't match"))</f>
        <v/>
      </c>
      <c r="R171" s="7" t="str">
        <f aca="false">IF(B171="","",IF(AND(M171="Approved",N171&lt;&gt;"",O171&lt;&gt;"",Q171="OK"),"Ready","Not yet"))</f>
        <v/>
      </c>
    </row>
    <row r="172" customFormat="false" ht="15" hidden="false" customHeight="true" outlineLevel="0" collapsed="false">
      <c r="A172" s="11"/>
      <c r="B172" s="11"/>
      <c r="C172" s="11"/>
      <c r="D172" s="11"/>
      <c r="E172" s="11"/>
      <c r="F172" s="11"/>
      <c r="G172" s="11"/>
      <c r="H172" s="11"/>
      <c r="I172" s="11"/>
      <c r="J172" s="11"/>
      <c r="K172" s="11"/>
      <c r="L172" s="11"/>
      <c r="M172" s="11"/>
      <c r="N172" s="11"/>
      <c r="O172" s="15"/>
      <c r="P172" s="11"/>
      <c r="Q172" s="7" t="str">
        <f aca="false">IF(B172="","",IF(SUBSTITUTE(SUBSTITUTE(D172," ",""),"|","")=B172,"OK","Split letters don't match"))</f>
        <v/>
      </c>
      <c r="R172" s="7" t="str">
        <f aca="false">IF(B172="","",IF(AND(M172="Approved",N172&lt;&gt;"",O172&lt;&gt;"",Q172="OK"),"Ready","Not yet"))</f>
        <v/>
      </c>
    </row>
    <row r="173" customFormat="false" ht="15" hidden="false" customHeight="true" outlineLevel="0" collapsed="false">
      <c r="A173" s="11"/>
      <c r="B173" s="11"/>
      <c r="C173" s="11"/>
      <c r="D173" s="11"/>
      <c r="E173" s="11"/>
      <c r="F173" s="11"/>
      <c r="G173" s="11"/>
      <c r="H173" s="11"/>
      <c r="I173" s="11"/>
      <c r="J173" s="11"/>
      <c r="K173" s="11"/>
      <c r="L173" s="11"/>
      <c r="M173" s="11"/>
      <c r="N173" s="11"/>
      <c r="O173" s="15"/>
      <c r="P173" s="11"/>
      <c r="Q173" s="7" t="str">
        <f aca="false">IF(B173="","",IF(SUBSTITUTE(SUBSTITUTE(D173," ",""),"|","")=B173,"OK","Split letters don't match"))</f>
        <v/>
      </c>
      <c r="R173" s="7" t="str">
        <f aca="false">IF(B173="","",IF(AND(M173="Approved",N173&lt;&gt;"",O173&lt;&gt;"",Q173="OK"),"Ready","Not yet"))</f>
        <v/>
      </c>
    </row>
    <row r="174" customFormat="false" ht="15" hidden="false" customHeight="true" outlineLevel="0" collapsed="false">
      <c r="A174" s="11"/>
      <c r="B174" s="11"/>
      <c r="C174" s="11"/>
      <c r="D174" s="11"/>
      <c r="E174" s="11"/>
      <c r="F174" s="11"/>
      <c r="G174" s="11"/>
      <c r="H174" s="11"/>
      <c r="I174" s="11"/>
      <c r="J174" s="11"/>
      <c r="K174" s="11"/>
      <c r="L174" s="11"/>
      <c r="M174" s="11"/>
      <c r="N174" s="11"/>
      <c r="O174" s="15"/>
      <c r="P174" s="11"/>
      <c r="Q174" s="7" t="str">
        <f aca="false">IF(B174="","",IF(SUBSTITUTE(SUBSTITUTE(D174," ",""),"|","")=B174,"OK","Split letters don't match"))</f>
        <v/>
      </c>
      <c r="R174" s="7" t="str">
        <f aca="false">IF(B174="","",IF(AND(M174="Approved",N174&lt;&gt;"",O174&lt;&gt;"",Q174="OK"),"Ready","Not yet"))</f>
        <v/>
      </c>
    </row>
    <row r="175" customFormat="false" ht="15" hidden="false" customHeight="true" outlineLevel="0" collapsed="false">
      <c r="A175" s="11"/>
      <c r="B175" s="11"/>
      <c r="C175" s="11"/>
      <c r="D175" s="11"/>
      <c r="E175" s="11"/>
      <c r="F175" s="11"/>
      <c r="G175" s="11"/>
      <c r="H175" s="11"/>
      <c r="I175" s="11"/>
      <c r="J175" s="11"/>
      <c r="K175" s="11"/>
      <c r="L175" s="11"/>
      <c r="M175" s="11"/>
      <c r="N175" s="11"/>
      <c r="O175" s="15"/>
      <c r="P175" s="11"/>
      <c r="Q175" s="7" t="str">
        <f aca="false">IF(B175="","",IF(SUBSTITUTE(SUBSTITUTE(D175," ",""),"|","")=B175,"OK","Split letters don't match"))</f>
        <v/>
      </c>
      <c r="R175" s="7" t="str">
        <f aca="false">IF(B175="","",IF(AND(M175="Approved",N175&lt;&gt;"",O175&lt;&gt;"",Q175="OK"),"Ready","Not yet"))</f>
        <v/>
      </c>
    </row>
    <row r="176" customFormat="false" ht="15" hidden="false" customHeight="true" outlineLevel="0" collapsed="false">
      <c r="A176" s="11"/>
      <c r="B176" s="11"/>
      <c r="C176" s="11"/>
      <c r="D176" s="11"/>
      <c r="E176" s="11"/>
      <c r="F176" s="11"/>
      <c r="G176" s="11"/>
      <c r="H176" s="11"/>
      <c r="I176" s="11"/>
      <c r="J176" s="11"/>
      <c r="K176" s="11"/>
      <c r="L176" s="11"/>
      <c r="M176" s="11"/>
      <c r="N176" s="11"/>
      <c r="O176" s="15"/>
      <c r="P176" s="11"/>
      <c r="Q176" s="7" t="str">
        <f aca="false">IF(B176="","",IF(SUBSTITUTE(SUBSTITUTE(D176," ",""),"|","")=B176,"OK","Split letters don't match"))</f>
        <v/>
      </c>
      <c r="R176" s="7" t="str">
        <f aca="false">IF(B176="","",IF(AND(M176="Approved",N176&lt;&gt;"",O176&lt;&gt;"",Q176="OK"),"Ready","Not yet"))</f>
        <v/>
      </c>
    </row>
    <row r="177" customFormat="false" ht="15" hidden="false" customHeight="true" outlineLevel="0" collapsed="false">
      <c r="A177" s="11"/>
      <c r="B177" s="11"/>
      <c r="C177" s="11"/>
      <c r="D177" s="11"/>
      <c r="E177" s="11"/>
      <c r="F177" s="11"/>
      <c r="G177" s="11"/>
      <c r="H177" s="11"/>
      <c r="I177" s="11"/>
      <c r="J177" s="11"/>
      <c r="K177" s="11"/>
      <c r="L177" s="11"/>
      <c r="M177" s="11"/>
      <c r="N177" s="11"/>
      <c r="O177" s="15"/>
      <c r="P177" s="11"/>
      <c r="Q177" s="7" t="str">
        <f aca="false">IF(B177="","",IF(SUBSTITUTE(SUBSTITUTE(D177," ",""),"|","")=B177,"OK","Split letters don't match"))</f>
        <v/>
      </c>
      <c r="R177" s="7" t="str">
        <f aca="false">IF(B177="","",IF(AND(M177="Approved",N177&lt;&gt;"",O177&lt;&gt;"",Q177="OK"),"Ready","Not yet"))</f>
        <v/>
      </c>
    </row>
    <row r="178" customFormat="false" ht="15" hidden="false" customHeight="true" outlineLevel="0" collapsed="false">
      <c r="A178" s="11"/>
      <c r="B178" s="11"/>
      <c r="C178" s="11"/>
      <c r="D178" s="11"/>
      <c r="E178" s="11"/>
      <c r="F178" s="11"/>
      <c r="G178" s="11"/>
      <c r="H178" s="11"/>
      <c r="I178" s="11"/>
      <c r="J178" s="11"/>
      <c r="K178" s="11"/>
      <c r="L178" s="11"/>
      <c r="M178" s="11"/>
      <c r="N178" s="11"/>
      <c r="O178" s="15"/>
      <c r="P178" s="11"/>
      <c r="Q178" s="7" t="str">
        <f aca="false">IF(B178="","",IF(SUBSTITUTE(SUBSTITUTE(D178," ",""),"|","")=B178,"OK","Split letters don't match"))</f>
        <v/>
      </c>
      <c r="R178" s="7" t="str">
        <f aca="false">IF(B178="","",IF(AND(M178="Approved",N178&lt;&gt;"",O178&lt;&gt;"",Q178="OK"),"Ready","Not yet"))</f>
        <v/>
      </c>
    </row>
    <row r="179" customFormat="false" ht="15" hidden="false" customHeight="true" outlineLevel="0" collapsed="false">
      <c r="A179" s="11"/>
      <c r="B179" s="11"/>
      <c r="C179" s="11"/>
      <c r="D179" s="11"/>
      <c r="E179" s="11"/>
      <c r="F179" s="11"/>
      <c r="G179" s="11"/>
      <c r="H179" s="11"/>
      <c r="I179" s="11"/>
      <c r="J179" s="11"/>
      <c r="K179" s="11"/>
      <c r="L179" s="11"/>
      <c r="M179" s="11"/>
      <c r="N179" s="11"/>
      <c r="O179" s="15"/>
      <c r="P179" s="11"/>
      <c r="Q179" s="7" t="str">
        <f aca="false">IF(B179="","",IF(SUBSTITUTE(SUBSTITUTE(D179," ",""),"|","")=B179,"OK","Split letters don't match"))</f>
        <v/>
      </c>
      <c r="R179" s="7" t="str">
        <f aca="false">IF(B179="","",IF(AND(M179="Approved",N179&lt;&gt;"",O179&lt;&gt;"",Q179="OK"),"Ready","Not yet"))</f>
        <v/>
      </c>
    </row>
    <row r="180" customFormat="false" ht="15" hidden="false" customHeight="true" outlineLevel="0" collapsed="false">
      <c r="A180" s="11"/>
      <c r="B180" s="11"/>
      <c r="C180" s="11"/>
      <c r="D180" s="11"/>
      <c r="E180" s="11"/>
      <c r="F180" s="11"/>
      <c r="G180" s="11"/>
      <c r="H180" s="11"/>
      <c r="I180" s="11"/>
      <c r="J180" s="11"/>
      <c r="K180" s="11"/>
      <c r="L180" s="11"/>
      <c r="M180" s="11"/>
      <c r="N180" s="11"/>
      <c r="O180" s="15"/>
      <c r="P180" s="11"/>
      <c r="Q180" s="7" t="str">
        <f aca="false">IF(B180="","",IF(SUBSTITUTE(SUBSTITUTE(D180," ",""),"|","")=B180,"OK","Split letters don't match"))</f>
        <v/>
      </c>
      <c r="R180" s="7" t="str">
        <f aca="false">IF(B180="","",IF(AND(M180="Approved",N180&lt;&gt;"",O180&lt;&gt;"",Q180="OK"),"Ready","Not yet"))</f>
        <v/>
      </c>
    </row>
    <row r="181" customFormat="false" ht="15" hidden="false" customHeight="true" outlineLevel="0" collapsed="false">
      <c r="A181" s="11"/>
      <c r="B181" s="11"/>
      <c r="C181" s="11"/>
      <c r="D181" s="11"/>
      <c r="E181" s="11"/>
      <c r="F181" s="11"/>
      <c r="G181" s="11"/>
      <c r="H181" s="11"/>
      <c r="I181" s="11"/>
      <c r="J181" s="11"/>
      <c r="K181" s="11"/>
      <c r="L181" s="11"/>
      <c r="M181" s="11"/>
      <c r="N181" s="11"/>
      <c r="O181" s="15"/>
      <c r="P181" s="11"/>
      <c r="Q181" s="7" t="str">
        <f aca="false">IF(B181="","",IF(SUBSTITUTE(SUBSTITUTE(D181," ",""),"|","")=B181,"OK","Split letters don't match"))</f>
        <v/>
      </c>
      <c r="R181" s="7" t="str">
        <f aca="false">IF(B181="","",IF(AND(M181="Approved",N181&lt;&gt;"",O181&lt;&gt;"",Q181="OK"),"Ready","Not yet"))</f>
        <v/>
      </c>
    </row>
    <row r="182" customFormat="false" ht="15" hidden="false" customHeight="true" outlineLevel="0" collapsed="false">
      <c r="A182" s="11"/>
      <c r="B182" s="11"/>
      <c r="C182" s="11"/>
      <c r="D182" s="11"/>
      <c r="E182" s="11"/>
      <c r="F182" s="11"/>
      <c r="G182" s="11"/>
      <c r="H182" s="11"/>
      <c r="I182" s="11"/>
      <c r="J182" s="11"/>
      <c r="K182" s="11"/>
      <c r="L182" s="11"/>
      <c r="M182" s="11"/>
      <c r="N182" s="11"/>
      <c r="O182" s="15"/>
      <c r="P182" s="11"/>
      <c r="Q182" s="7" t="str">
        <f aca="false">IF(B182="","",IF(SUBSTITUTE(SUBSTITUTE(D182," ",""),"|","")=B182,"OK","Split letters don't match"))</f>
        <v/>
      </c>
      <c r="R182" s="7" t="str">
        <f aca="false">IF(B182="","",IF(AND(M182="Approved",N182&lt;&gt;"",O182&lt;&gt;"",Q182="OK"),"Ready","Not yet"))</f>
        <v/>
      </c>
    </row>
    <row r="183" customFormat="false" ht="15" hidden="false" customHeight="true" outlineLevel="0" collapsed="false">
      <c r="A183" s="11"/>
      <c r="B183" s="11"/>
      <c r="C183" s="11"/>
      <c r="D183" s="11"/>
      <c r="E183" s="11"/>
      <c r="F183" s="11"/>
      <c r="G183" s="11"/>
      <c r="H183" s="11"/>
      <c r="I183" s="11"/>
      <c r="J183" s="11"/>
      <c r="K183" s="11"/>
      <c r="L183" s="11"/>
      <c r="M183" s="11"/>
      <c r="N183" s="11"/>
      <c r="O183" s="15"/>
      <c r="P183" s="11"/>
      <c r="Q183" s="7" t="str">
        <f aca="false">IF(B183="","",IF(SUBSTITUTE(SUBSTITUTE(D183," ",""),"|","")=B183,"OK","Split letters don't match"))</f>
        <v/>
      </c>
      <c r="R183" s="7" t="str">
        <f aca="false">IF(B183="","",IF(AND(M183="Approved",N183&lt;&gt;"",O183&lt;&gt;"",Q183="OK"),"Ready","Not yet"))</f>
        <v/>
      </c>
    </row>
    <row r="184" customFormat="false" ht="15" hidden="false" customHeight="true" outlineLevel="0" collapsed="false">
      <c r="A184" s="11"/>
      <c r="B184" s="11"/>
      <c r="C184" s="11"/>
      <c r="D184" s="11"/>
      <c r="E184" s="11"/>
      <c r="F184" s="11"/>
      <c r="G184" s="11"/>
      <c r="H184" s="11"/>
      <c r="I184" s="11"/>
      <c r="J184" s="11"/>
      <c r="K184" s="11"/>
      <c r="L184" s="11"/>
      <c r="M184" s="11"/>
      <c r="N184" s="11"/>
      <c r="O184" s="15"/>
      <c r="P184" s="11"/>
      <c r="Q184" s="7" t="str">
        <f aca="false">IF(B184="","",IF(SUBSTITUTE(SUBSTITUTE(D184," ",""),"|","")=B184,"OK","Split letters don't match"))</f>
        <v/>
      </c>
      <c r="R184" s="7" t="str">
        <f aca="false">IF(B184="","",IF(AND(M184="Approved",N184&lt;&gt;"",O184&lt;&gt;"",Q184="OK"),"Ready","Not yet"))</f>
        <v/>
      </c>
    </row>
    <row r="185" customFormat="false" ht="15" hidden="false" customHeight="true" outlineLevel="0" collapsed="false">
      <c r="A185" s="11"/>
      <c r="B185" s="11"/>
      <c r="C185" s="11"/>
      <c r="D185" s="11"/>
      <c r="E185" s="11"/>
      <c r="F185" s="11"/>
      <c r="G185" s="11"/>
      <c r="H185" s="11"/>
      <c r="I185" s="11"/>
      <c r="J185" s="11"/>
      <c r="K185" s="11"/>
      <c r="L185" s="11"/>
      <c r="M185" s="11"/>
      <c r="N185" s="11"/>
      <c r="O185" s="15"/>
      <c r="P185" s="11"/>
      <c r="Q185" s="7" t="str">
        <f aca="false">IF(B185="","",IF(SUBSTITUTE(SUBSTITUTE(D185," ",""),"|","")=B185,"OK","Split letters don't match"))</f>
        <v/>
      </c>
      <c r="R185" s="7" t="str">
        <f aca="false">IF(B185="","",IF(AND(M185="Approved",N185&lt;&gt;"",O185&lt;&gt;"",Q185="OK"),"Ready","Not yet"))</f>
        <v/>
      </c>
    </row>
    <row r="186" customFormat="false" ht="15" hidden="false" customHeight="true" outlineLevel="0" collapsed="false">
      <c r="A186" s="11"/>
      <c r="B186" s="11"/>
      <c r="C186" s="11"/>
      <c r="D186" s="11"/>
      <c r="E186" s="11"/>
      <c r="F186" s="11"/>
      <c r="G186" s="11"/>
      <c r="H186" s="11"/>
      <c r="I186" s="11"/>
      <c r="J186" s="11"/>
      <c r="K186" s="11"/>
      <c r="L186" s="11"/>
      <c r="M186" s="11"/>
      <c r="N186" s="11"/>
      <c r="O186" s="15"/>
      <c r="P186" s="11"/>
      <c r="Q186" s="7" t="str">
        <f aca="false">IF(B186="","",IF(SUBSTITUTE(SUBSTITUTE(D186," ",""),"|","")=B186,"OK","Split letters don't match"))</f>
        <v/>
      </c>
      <c r="R186" s="7" t="str">
        <f aca="false">IF(B186="","",IF(AND(M186="Approved",N186&lt;&gt;"",O186&lt;&gt;"",Q186="OK"),"Ready","Not yet"))</f>
        <v/>
      </c>
    </row>
    <row r="187" customFormat="false" ht="15" hidden="false" customHeight="true" outlineLevel="0" collapsed="false">
      <c r="A187" s="11"/>
      <c r="B187" s="11"/>
      <c r="C187" s="11"/>
      <c r="D187" s="11"/>
      <c r="E187" s="11"/>
      <c r="F187" s="11"/>
      <c r="G187" s="11"/>
      <c r="H187" s="11"/>
      <c r="I187" s="11"/>
      <c r="J187" s="11"/>
      <c r="K187" s="11"/>
      <c r="L187" s="11"/>
      <c r="M187" s="11"/>
      <c r="N187" s="11"/>
      <c r="O187" s="15"/>
      <c r="P187" s="11"/>
      <c r="Q187" s="7" t="str">
        <f aca="false">IF(B187="","",IF(SUBSTITUTE(SUBSTITUTE(D187," ",""),"|","")=B187,"OK","Split letters don't match"))</f>
        <v/>
      </c>
      <c r="R187" s="7" t="str">
        <f aca="false">IF(B187="","",IF(AND(M187="Approved",N187&lt;&gt;"",O187&lt;&gt;"",Q187="OK"),"Ready","Not yet"))</f>
        <v/>
      </c>
    </row>
    <row r="188" customFormat="false" ht="15" hidden="false" customHeight="true" outlineLevel="0" collapsed="false">
      <c r="A188" s="11"/>
      <c r="B188" s="11"/>
      <c r="C188" s="11"/>
      <c r="D188" s="11"/>
      <c r="E188" s="11"/>
      <c r="F188" s="11"/>
      <c r="G188" s="11"/>
      <c r="H188" s="11"/>
      <c r="I188" s="11"/>
      <c r="J188" s="11"/>
      <c r="K188" s="11"/>
      <c r="L188" s="11"/>
      <c r="M188" s="11"/>
      <c r="N188" s="11"/>
      <c r="O188" s="15"/>
      <c r="P188" s="11"/>
      <c r="Q188" s="7" t="str">
        <f aca="false">IF(B188="","",IF(SUBSTITUTE(SUBSTITUTE(D188," ",""),"|","")=B188,"OK","Split letters don't match"))</f>
        <v/>
      </c>
      <c r="R188" s="7" t="str">
        <f aca="false">IF(B188="","",IF(AND(M188="Approved",N188&lt;&gt;"",O188&lt;&gt;"",Q188="OK"),"Ready","Not yet"))</f>
        <v/>
      </c>
    </row>
    <row r="189" customFormat="false" ht="15" hidden="false" customHeight="true" outlineLevel="0" collapsed="false">
      <c r="A189" s="11"/>
      <c r="B189" s="11"/>
      <c r="C189" s="11"/>
      <c r="D189" s="11"/>
      <c r="E189" s="11"/>
      <c r="F189" s="11"/>
      <c r="G189" s="11"/>
      <c r="H189" s="11"/>
      <c r="I189" s="11"/>
      <c r="J189" s="11"/>
      <c r="K189" s="11"/>
      <c r="L189" s="11"/>
      <c r="M189" s="11"/>
      <c r="N189" s="11"/>
      <c r="O189" s="15"/>
      <c r="P189" s="11"/>
      <c r="Q189" s="7" t="str">
        <f aca="false">IF(B189="","",IF(SUBSTITUTE(SUBSTITUTE(D189," ",""),"|","")=B189,"OK","Split letters don't match"))</f>
        <v/>
      </c>
      <c r="R189" s="7" t="str">
        <f aca="false">IF(B189="","",IF(AND(M189="Approved",N189&lt;&gt;"",O189&lt;&gt;"",Q189="OK"),"Ready","Not yet"))</f>
        <v/>
      </c>
    </row>
    <row r="190" customFormat="false" ht="15" hidden="false" customHeight="true" outlineLevel="0" collapsed="false">
      <c r="A190" s="11"/>
      <c r="B190" s="11"/>
      <c r="C190" s="11"/>
      <c r="D190" s="11"/>
      <c r="E190" s="11"/>
      <c r="F190" s="11"/>
      <c r="G190" s="11"/>
      <c r="H190" s="11"/>
      <c r="I190" s="11"/>
      <c r="J190" s="11"/>
      <c r="K190" s="11"/>
      <c r="L190" s="11"/>
      <c r="M190" s="11"/>
      <c r="N190" s="11"/>
      <c r="O190" s="15"/>
      <c r="P190" s="11"/>
      <c r="Q190" s="7" t="str">
        <f aca="false">IF(B190="","",IF(SUBSTITUTE(SUBSTITUTE(D190," ",""),"|","")=B190,"OK","Split letters don't match"))</f>
        <v/>
      </c>
      <c r="R190" s="7" t="str">
        <f aca="false">IF(B190="","",IF(AND(M190="Approved",N190&lt;&gt;"",O190&lt;&gt;"",Q190="OK"),"Ready","Not yet"))</f>
        <v/>
      </c>
    </row>
    <row r="191" customFormat="false" ht="15" hidden="false" customHeight="true" outlineLevel="0" collapsed="false">
      <c r="A191" s="11"/>
      <c r="B191" s="11"/>
      <c r="C191" s="11"/>
      <c r="D191" s="11"/>
      <c r="E191" s="11"/>
      <c r="F191" s="11"/>
      <c r="G191" s="11"/>
      <c r="H191" s="11"/>
      <c r="I191" s="11"/>
      <c r="J191" s="11"/>
      <c r="K191" s="11"/>
      <c r="L191" s="11"/>
      <c r="M191" s="11"/>
      <c r="N191" s="11"/>
      <c r="O191" s="15"/>
      <c r="P191" s="11"/>
      <c r="Q191" s="7" t="str">
        <f aca="false">IF(B191="","",IF(SUBSTITUTE(SUBSTITUTE(D191," ",""),"|","")=B191,"OK","Split letters don't match"))</f>
        <v/>
      </c>
      <c r="R191" s="7" t="str">
        <f aca="false">IF(B191="","",IF(AND(M191="Approved",N191&lt;&gt;"",O191&lt;&gt;"",Q191="OK"),"Ready","Not yet"))</f>
        <v/>
      </c>
    </row>
    <row r="192" customFormat="false" ht="15" hidden="false" customHeight="true" outlineLevel="0" collapsed="false">
      <c r="A192" s="11"/>
      <c r="B192" s="11"/>
      <c r="C192" s="11"/>
      <c r="D192" s="11"/>
      <c r="E192" s="11"/>
      <c r="F192" s="11"/>
      <c r="G192" s="11"/>
      <c r="H192" s="11"/>
      <c r="I192" s="11"/>
      <c r="J192" s="11"/>
      <c r="K192" s="11"/>
      <c r="L192" s="11"/>
      <c r="M192" s="11"/>
      <c r="N192" s="11"/>
      <c r="O192" s="15"/>
      <c r="P192" s="11"/>
      <c r="Q192" s="7" t="str">
        <f aca="false">IF(B192="","",IF(SUBSTITUTE(SUBSTITUTE(D192," ",""),"|","")=B192,"OK","Split letters don't match"))</f>
        <v/>
      </c>
      <c r="R192" s="7" t="str">
        <f aca="false">IF(B192="","",IF(AND(M192="Approved",N192&lt;&gt;"",O192&lt;&gt;"",Q192="OK"),"Ready","Not yet"))</f>
        <v/>
      </c>
    </row>
    <row r="193" customFormat="false" ht="15" hidden="false" customHeight="true" outlineLevel="0" collapsed="false">
      <c r="A193" s="11"/>
      <c r="B193" s="11"/>
      <c r="C193" s="11"/>
      <c r="D193" s="11"/>
      <c r="E193" s="11"/>
      <c r="F193" s="11"/>
      <c r="G193" s="11"/>
      <c r="H193" s="11"/>
      <c r="I193" s="11"/>
      <c r="J193" s="11"/>
      <c r="K193" s="11"/>
      <c r="L193" s="11"/>
      <c r="M193" s="11"/>
      <c r="N193" s="11"/>
      <c r="O193" s="15"/>
      <c r="P193" s="11"/>
      <c r="Q193" s="7" t="str">
        <f aca="false">IF(B193="","",IF(SUBSTITUTE(SUBSTITUTE(D193," ",""),"|","")=B193,"OK","Split letters don't match"))</f>
        <v/>
      </c>
      <c r="R193" s="7" t="str">
        <f aca="false">IF(B193="","",IF(AND(M193="Approved",N193&lt;&gt;"",O193&lt;&gt;"",Q193="OK"),"Ready","Not yet"))</f>
        <v/>
      </c>
    </row>
    <row r="194" customFormat="false" ht="15" hidden="false" customHeight="true" outlineLevel="0" collapsed="false">
      <c r="A194" s="11"/>
      <c r="B194" s="11"/>
      <c r="C194" s="11"/>
      <c r="D194" s="11"/>
      <c r="E194" s="11"/>
      <c r="F194" s="11"/>
      <c r="G194" s="11"/>
      <c r="H194" s="11"/>
      <c r="I194" s="11"/>
      <c r="J194" s="11"/>
      <c r="K194" s="11"/>
      <c r="L194" s="11"/>
      <c r="M194" s="11"/>
      <c r="N194" s="11"/>
      <c r="O194" s="15"/>
      <c r="P194" s="11"/>
      <c r="Q194" s="7" t="str">
        <f aca="false">IF(B194="","",IF(SUBSTITUTE(SUBSTITUTE(D194," ",""),"|","")=B194,"OK","Split letters don't match"))</f>
        <v/>
      </c>
      <c r="R194" s="7" t="str">
        <f aca="false">IF(B194="","",IF(AND(M194="Approved",N194&lt;&gt;"",O194&lt;&gt;"",Q194="OK"),"Ready","Not yet"))</f>
        <v/>
      </c>
    </row>
    <row r="195" customFormat="false" ht="15" hidden="false" customHeight="true" outlineLevel="0" collapsed="false">
      <c r="A195" s="11"/>
      <c r="B195" s="11"/>
      <c r="C195" s="11"/>
      <c r="D195" s="11"/>
      <c r="E195" s="11"/>
      <c r="F195" s="11"/>
      <c r="G195" s="11"/>
      <c r="H195" s="11"/>
      <c r="I195" s="11"/>
      <c r="J195" s="11"/>
      <c r="K195" s="11"/>
      <c r="L195" s="11"/>
      <c r="M195" s="11"/>
      <c r="N195" s="11"/>
      <c r="O195" s="15"/>
      <c r="P195" s="11"/>
      <c r="Q195" s="7" t="str">
        <f aca="false">IF(B195="","",IF(SUBSTITUTE(SUBSTITUTE(D195," ",""),"|","")=B195,"OK","Split letters don't match"))</f>
        <v/>
      </c>
      <c r="R195" s="7" t="str">
        <f aca="false">IF(B195="","",IF(AND(M195="Approved",N195&lt;&gt;"",O195&lt;&gt;"",Q195="OK"),"Ready","Not yet"))</f>
        <v/>
      </c>
    </row>
    <row r="196" customFormat="false" ht="15" hidden="false" customHeight="true" outlineLevel="0" collapsed="false">
      <c r="A196" s="11"/>
      <c r="B196" s="11"/>
      <c r="C196" s="11"/>
      <c r="D196" s="11"/>
      <c r="E196" s="11"/>
      <c r="F196" s="11"/>
      <c r="G196" s="11"/>
      <c r="H196" s="11"/>
      <c r="I196" s="11"/>
      <c r="J196" s="11"/>
      <c r="K196" s="11"/>
      <c r="L196" s="11"/>
      <c r="M196" s="11"/>
      <c r="N196" s="11"/>
      <c r="O196" s="15"/>
      <c r="P196" s="11"/>
      <c r="Q196" s="7" t="str">
        <f aca="false">IF(B196="","",IF(SUBSTITUTE(SUBSTITUTE(D196," ",""),"|","")=B196,"OK","Split letters don't match"))</f>
        <v/>
      </c>
      <c r="R196" s="7" t="str">
        <f aca="false">IF(B196="","",IF(AND(M196="Approved",N196&lt;&gt;"",O196&lt;&gt;"",Q196="OK"),"Ready","Not yet"))</f>
        <v/>
      </c>
    </row>
    <row r="197" customFormat="false" ht="15" hidden="false" customHeight="true" outlineLevel="0" collapsed="false">
      <c r="A197" s="11"/>
      <c r="B197" s="11"/>
      <c r="C197" s="11"/>
      <c r="D197" s="11"/>
      <c r="E197" s="11"/>
      <c r="F197" s="11"/>
      <c r="G197" s="11"/>
      <c r="H197" s="11"/>
      <c r="I197" s="11"/>
      <c r="J197" s="11"/>
      <c r="K197" s="11"/>
      <c r="L197" s="11"/>
      <c r="M197" s="11"/>
      <c r="N197" s="11"/>
      <c r="O197" s="15"/>
      <c r="P197" s="11"/>
      <c r="Q197" s="7" t="str">
        <f aca="false">IF(B197="","",IF(SUBSTITUTE(SUBSTITUTE(D197," ",""),"|","")=B197,"OK","Split letters don't match"))</f>
        <v/>
      </c>
      <c r="R197" s="7" t="str">
        <f aca="false">IF(B197="","",IF(AND(M197="Approved",N197&lt;&gt;"",O197&lt;&gt;"",Q197="OK"),"Ready","Not yet"))</f>
        <v/>
      </c>
    </row>
    <row r="198" customFormat="false" ht="15" hidden="false" customHeight="true" outlineLevel="0" collapsed="false">
      <c r="A198" s="11"/>
      <c r="B198" s="11"/>
      <c r="C198" s="11"/>
      <c r="D198" s="11"/>
      <c r="E198" s="11"/>
      <c r="F198" s="11"/>
      <c r="G198" s="11"/>
      <c r="H198" s="11"/>
      <c r="I198" s="11"/>
      <c r="J198" s="11"/>
      <c r="K198" s="11"/>
      <c r="L198" s="11"/>
      <c r="M198" s="11"/>
      <c r="N198" s="11"/>
      <c r="O198" s="15"/>
      <c r="P198" s="11"/>
      <c r="Q198" s="7" t="str">
        <f aca="false">IF(B198="","",IF(SUBSTITUTE(SUBSTITUTE(D198," ",""),"|","")=B198,"OK","Split letters don't match"))</f>
        <v/>
      </c>
      <c r="R198" s="7" t="str">
        <f aca="false">IF(B198="","",IF(AND(M198="Approved",N198&lt;&gt;"",O198&lt;&gt;"",Q198="OK"),"Ready","Not yet"))</f>
        <v/>
      </c>
    </row>
    <row r="199" customFormat="false" ht="15" hidden="false" customHeight="true" outlineLevel="0" collapsed="false">
      <c r="A199" s="11"/>
      <c r="B199" s="11"/>
      <c r="C199" s="11"/>
      <c r="D199" s="11"/>
      <c r="E199" s="11"/>
      <c r="F199" s="11"/>
      <c r="G199" s="11"/>
      <c r="H199" s="11"/>
      <c r="I199" s="11"/>
      <c r="J199" s="11"/>
      <c r="K199" s="11"/>
      <c r="L199" s="11"/>
      <c r="M199" s="11"/>
      <c r="N199" s="11"/>
      <c r="O199" s="15"/>
      <c r="P199" s="11"/>
      <c r="Q199" s="7" t="str">
        <f aca="false">IF(B199="","",IF(SUBSTITUTE(SUBSTITUTE(D199," ",""),"|","")=B199,"OK","Split letters don't match"))</f>
        <v/>
      </c>
      <c r="R199" s="7" t="str">
        <f aca="false">IF(B199="","",IF(AND(M199="Approved",N199&lt;&gt;"",O199&lt;&gt;"",Q199="OK"),"Ready","Not yet"))</f>
        <v/>
      </c>
    </row>
    <row r="200" customFormat="false" ht="15" hidden="false" customHeight="true" outlineLevel="0" collapsed="false">
      <c r="A200" s="11"/>
      <c r="B200" s="11"/>
      <c r="C200" s="11"/>
      <c r="D200" s="11"/>
      <c r="E200" s="11"/>
      <c r="F200" s="11"/>
      <c r="G200" s="11"/>
      <c r="H200" s="11"/>
      <c r="I200" s="11"/>
      <c r="J200" s="11"/>
      <c r="K200" s="11"/>
      <c r="L200" s="11"/>
      <c r="M200" s="11"/>
      <c r="N200" s="11"/>
      <c r="O200" s="15"/>
      <c r="P200" s="11"/>
      <c r="Q200" s="7" t="str">
        <f aca="false">IF(B200="","",IF(SUBSTITUTE(SUBSTITUTE(D200," ",""),"|","")=B200,"OK","Split letters don't match"))</f>
        <v/>
      </c>
      <c r="R200" s="7" t="str">
        <f aca="false">IF(B200="","",IF(AND(M200="Approved",N200&lt;&gt;"",O200&lt;&gt;"",Q200="OK"),"Ready","Not yet"))</f>
        <v/>
      </c>
    </row>
    <row r="201" customFormat="false" ht="15" hidden="false" customHeight="true" outlineLevel="0" collapsed="false">
      <c r="A201" s="11"/>
      <c r="B201" s="11"/>
      <c r="C201" s="11"/>
      <c r="D201" s="11"/>
      <c r="E201" s="11"/>
      <c r="F201" s="11"/>
      <c r="G201" s="11"/>
      <c r="H201" s="11"/>
      <c r="I201" s="11"/>
      <c r="J201" s="11"/>
      <c r="K201" s="11"/>
      <c r="L201" s="11"/>
      <c r="M201" s="11"/>
      <c r="N201" s="11"/>
      <c r="O201" s="15"/>
      <c r="P201" s="11"/>
      <c r="Q201" s="7" t="str">
        <f aca="false">IF(B201="","",IF(SUBSTITUTE(SUBSTITUTE(D201," ",""),"|","")=B201,"OK","Split letters don't match"))</f>
        <v/>
      </c>
      <c r="R201" s="7" t="str">
        <f aca="false">IF(B201="","",IF(AND(M201="Approved",N201&lt;&gt;"",O201&lt;&gt;"",Q201="OK"),"Ready","Not yet"))</f>
        <v/>
      </c>
    </row>
  </sheetData>
  <autoFilter ref="A1:R201"/>
  <dataValidations count="2">
    <dataValidation allowBlank="true" errorStyle="stop" operator="between" showDropDown="false" showErrorMessage="false" showInputMessage="false" sqref="C2:C201" type="list">
      <formula1>Lists!$K$2:$K$4</formula1>
      <formula2>0</formula2>
    </dataValidation>
    <dataValidation allowBlank="true" errorStyle="stop" operator="between" showDropDown="false" showErrorMessage="false" showInputMessage="false" sqref="M2:M201" type="list">
      <formula1>Lists!$E$2:$E$6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9"/>
    <col collapsed="false" customWidth="true" hidden="false" outlineLevel="0" max="3" min="3" style="1" width="14"/>
    <col collapsed="false" customWidth="true" hidden="false" outlineLevel="0" max="4" min="4" style="1" width="50"/>
    <col collapsed="false" customWidth="true" hidden="false" outlineLevel="0" max="5" min="5" style="1" width="30"/>
    <col collapsed="false" customWidth="true" hidden="false" outlineLevel="0" max="6" min="6" style="1" width="28"/>
    <col collapsed="false" customWidth="true" hidden="false" outlineLevel="0" max="7" min="7" style="1" width="40"/>
    <col collapsed="false" customWidth="true" hidden="false" outlineLevel="0" max="8" min="8" style="1" width="24"/>
    <col collapsed="false" customWidth="true" hidden="false" outlineLevel="0" max="9" min="9" style="1" width="30"/>
    <col collapsed="false" customWidth="true" hidden="false" outlineLevel="0" max="10" min="10" style="1" width="20"/>
    <col collapsed="false" customWidth="true" hidden="false" outlineLevel="0" max="11" min="11" style="1" width="44"/>
    <col collapsed="false" customWidth="true" hidden="false" outlineLevel="0" max="12" min="12" style="1" width="14"/>
    <col collapsed="false" customWidth="true" hidden="false" outlineLevel="0" max="13" min="13" style="1" width="13"/>
    <col collapsed="false" customWidth="true" hidden="false" outlineLevel="0" max="14" min="14" style="1" width="14"/>
    <col collapsed="false" customWidth="true" hidden="false" outlineLevel="0" max="15" min="15" style="1" width="13"/>
    <col collapsed="false" customWidth="true" hidden="false" outlineLevel="0" max="16" min="16" style="1" width="26"/>
    <col collapsed="false" customWidth="true" hidden="false" outlineLevel="0" max="17" min="17" style="1" width="13"/>
  </cols>
  <sheetData>
    <row r="1" customFormat="false" ht="30" hidden="false" customHeight="true" outlineLevel="0" collapsed="false">
      <c r="A1" s="10" t="s">
        <v>1172</v>
      </c>
      <c r="B1" s="10" t="s">
        <v>388</v>
      </c>
      <c r="C1" s="10" t="s">
        <v>1173</v>
      </c>
      <c r="D1" s="10" t="s">
        <v>1174</v>
      </c>
      <c r="E1" s="10" t="s">
        <v>1175</v>
      </c>
      <c r="F1" s="10" t="s">
        <v>1176</v>
      </c>
      <c r="G1" s="10" t="s">
        <v>1177</v>
      </c>
      <c r="H1" s="10" t="s">
        <v>43</v>
      </c>
      <c r="I1" s="10" t="s">
        <v>1178</v>
      </c>
      <c r="J1" s="10" t="s">
        <v>387</v>
      </c>
      <c r="K1" s="10" t="s">
        <v>1179</v>
      </c>
      <c r="L1" s="10" t="s">
        <v>46</v>
      </c>
      <c r="M1" s="10" t="s">
        <v>47</v>
      </c>
      <c r="N1" s="10" t="s">
        <v>48</v>
      </c>
      <c r="O1" s="10" t="s">
        <v>49</v>
      </c>
      <c r="P1" s="10" t="s">
        <v>50</v>
      </c>
      <c r="Q1" s="10" t="s">
        <v>51</v>
      </c>
    </row>
    <row r="2" customFormat="false" ht="34.5" hidden="false" customHeight="true" outlineLevel="0" collapsed="false">
      <c r="A2" s="11" t="s">
        <v>1180</v>
      </c>
      <c r="B2" s="11" t="s">
        <v>395</v>
      </c>
      <c r="C2" s="11" t="s">
        <v>1181</v>
      </c>
      <c r="D2" s="11" t="s">
        <v>1182</v>
      </c>
      <c r="E2" s="11" t="s">
        <v>1183</v>
      </c>
      <c r="F2" s="11" t="s">
        <v>392</v>
      </c>
      <c r="G2" s="11" t="s">
        <v>1184</v>
      </c>
      <c r="H2" s="11" t="s">
        <v>394</v>
      </c>
      <c r="I2" s="11" t="s">
        <v>1185</v>
      </c>
      <c r="J2" s="11" t="s">
        <v>1186</v>
      </c>
      <c r="K2" s="11" t="s">
        <v>1187</v>
      </c>
      <c r="L2" s="11" t="s">
        <v>59</v>
      </c>
      <c r="M2" s="11" t="s">
        <v>60</v>
      </c>
      <c r="N2" s="11"/>
      <c r="O2" s="11"/>
      <c r="P2" s="11"/>
      <c r="Q2" s="7" t="str">
        <f aca="false">IF(D2="","",IF(AND(M2="Approved",N2&lt;&gt;"",O2&lt;&gt;""),"Ready","Not yet"))</f>
        <v>Not yet</v>
      </c>
    </row>
    <row r="3" customFormat="false" ht="34.5" hidden="false" customHeight="true" outlineLevel="0" collapsed="false">
      <c r="A3" s="11" t="s">
        <v>1188</v>
      </c>
      <c r="B3" s="11" t="s">
        <v>395</v>
      </c>
      <c r="C3" s="11" t="s">
        <v>1181</v>
      </c>
      <c r="D3" s="11" t="s">
        <v>1189</v>
      </c>
      <c r="E3" s="11" t="s">
        <v>1190</v>
      </c>
      <c r="F3" s="11" t="s">
        <v>448</v>
      </c>
      <c r="G3" s="11" t="s">
        <v>1191</v>
      </c>
      <c r="H3" s="11" t="s">
        <v>450</v>
      </c>
      <c r="I3" s="11" t="s">
        <v>1192</v>
      </c>
      <c r="J3" s="11" t="s">
        <v>1193</v>
      </c>
      <c r="K3" s="11" t="s">
        <v>1194</v>
      </c>
      <c r="L3" s="11" t="s">
        <v>59</v>
      </c>
      <c r="M3" s="11" t="s">
        <v>60</v>
      </c>
      <c r="N3" s="11"/>
      <c r="O3" s="11"/>
      <c r="P3" s="11"/>
      <c r="Q3" s="7" t="str">
        <f aca="false">IF(D3="","",IF(AND(M3="Approved",N3&lt;&gt;"",O3&lt;&gt;""),"Ready","Not yet"))</f>
        <v>Not yet</v>
      </c>
    </row>
    <row r="4" customFormat="false" ht="34.5" hidden="false" customHeight="true" outlineLevel="0" collapsed="false">
      <c r="A4" s="11" t="s">
        <v>1195</v>
      </c>
      <c r="B4" s="11" t="s">
        <v>395</v>
      </c>
      <c r="C4" s="11" t="s">
        <v>1181</v>
      </c>
      <c r="D4" s="11" t="s">
        <v>1196</v>
      </c>
      <c r="E4" s="11" t="s">
        <v>1197</v>
      </c>
      <c r="F4" s="11" t="s">
        <v>490</v>
      </c>
      <c r="G4" s="11" t="s">
        <v>1198</v>
      </c>
      <c r="H4" s="11" t="s">
        <v>492</v>
      </c>
      <c r="I4" s="11" t="s">
        <v>1199</v>
      </c>
      <c r="J4" s="11" t="s">
        <v>1200</v>
      </c>
      <c r="K4" s="11" t="s">
        <v>1201</v>
      </c>
      <c r="L4" s="11" t="s">
        <v>59</v>
      </c>
      <c r="M4" s="11" t="s">
        <v>60</v>
      </c>
      <c r="N4" s="11"/>
      <c r="O4" s="11"/>
      <c r="P4" s="11"/>
      <c r="Q4" s="7" t="str">
        <f aca="false">IF(D4="","",IF(AND(M4="Approved",N4&lt;&gt;"",O4&lt;&gt;""),"Ready","Not yet"))</f>
        <v>Not yet</v>
      </c>
    </row>
    <row r="5" customFormat="false" ht="34.5" hidden="false" customHeight="true" outlineLevel="0" collapsed="false">
      <c r="A5" s="11" t="s">
        <v>1202</v>
      </c>
      <c r="B5" s="11" t="s">
        <v>395</v>
      </c>
      <c r="C5" s="11" t="s">
        <v>1181</v>
      </c>
      <c r="D5" s="11" t="s">
        <v>1203</v>
      </c>
      <c r="E5" s="11" t="s">
        <v>1204</v>
      </c>
      <c r="F5" s="11" t="s">
        <v>521</v>
      </c>
      <c r="G5" s="11" t="s">
        <v>1205</v>
      </c>
      <c r="H5" s="11" t="s">
        <v>523</v>
      </c>
      <c r="I5" s="11" t="s">
        <v>1206</v>
      </c>
      <c r="J5" s="11" t="s">
        <v>1207</v>
      </c>
      <c r="K5" s="11" t="s">
        <v>1208</v>
      </c>
      <c r="L5" s="11" t="s">
        <v>59</v>
      </c>
      <c r="M5" s="11" t="s">
        <v>60</v>
      </c>
      <c r="N5" s="11"/>
      <c r="O5" s="11"/>
      <c r="P5" s="11"/>
      <c r="Q5" s="7" t="str">
        <f aca="false">IF(D5="","",IF(AND(M5="Approved",N5&lt;&gt;"",O5&lt;&gt;""),"Ready","Not yet"))</f>
        <v>Not yet</v>
      </c>
    </row>
    <row r="6" customFormat="false" ht="34.5" hidden="false" customHeight="true" outlineLevel="0" collapsed="false">
      <c r="A6" s="11" t="s">
        <v>1209</v>
      </c>
      <c r="B6" s="11" t="s">
        <v>395</v>
      </c>
      <c r="C6" s="11" t="s">
        <v>1210</v>
      </c>
      <c r="D6" s="11" t="s">
        <v>1211</v>
      </c>
      <c r="E6" s="11" t="s">
        <v>1212</v>
      </c>
      <c r="F6" s="11" t="s">
        <v>563</v>
      </c>
      <c r="G6" s="11" t="s">
        <v>1213</v>
      </c>
      <c r="H6" s="11" t="s">
        <v>565</v>
      </c>
      <c r="I6" s="11" t="s">
        <v>1214</v>
      </c>
      <c r="J6" s="11" t="s">
        <v>1215</v>
      </c>
      <c r="K6" s="11" t="s">
        <v>1216</v>
      </c>
      <c r="L6" s="11" t="s">
        <v>59</v>
      </c>
      <c r="M6" s="11" t="s">
        <v>60</v>
      </c>
      <c r="N6" s="11"/>
      <c r="O6" s="11"/>
      <c r="P6" s="11"/>
      <c r="Q6" s="7" t="str">
        <f aca="false">IF(D6="","",IF(AND(M6="Approved",N6&lt;&gt;"",O6&lt;&gt;""),"Ready","Not yet"))</f>
        <v>Not yet</v>
      </c>
    </row>
    <row r="7" customFormat="false" ht="34.5" hidden="false" customHeight="true" outlineLevel="0" collapsed="false">
      <c r="A7" s="11" t="s">
        <v>1217</v>
      </c>
      <c r="B7" s="11" t="s">
        <v>395</v>
      </c>
      <c r="C7" s="11" t="s">
        <v>1218</v>
      </c>
      <c r="D7" s="11" t="s">
        <v>1219</v>
      </c>
      <c r="E7" s="11" t="s">
        <v>1220</v>
      </c>
      <c r="F7" s="11" t="s">
        <v>438</v>
      </c>
      <c r="G7" s="11" t="s">
        <v>1221</v>
      </c>
      <c r="H7" s="11" t="s">
        <v>440</v>
      </c>
      <c r="I7" s="11" t="s">
        <v>1222</v>
      </c>
      <c r="J7" s="11" t="s">
        <v>1186</v>
      </c>
      <c r="K7" s="11" t="s">
        <v>1223</v>
      </c>
      <c r="L7" s="11" t="s">
        <v>59</v>
      </c>
      <c r="M7" s="11" t="s">
        <v>60</v>
      </c>
      <c r="N7" s="11"/>
      <c r="O7" s="11"/>
      <c r="P7" s="11"/>
      <c r="Q7" s="7" t="str">
        <f aca="false">IF(D7="","",IF(AND(M7="Approved",N7&lt;&gt;"",O7&lt;&gt;""),"Ready","Not yet"))</f>
        <v>Not yet</v>
      </c>
    </row>
    <row r="8" customFormat="false" ht="23.25" hidden="false" customHeight="true" outlineLevel="0" collapsed="false">
      <c r="A8" s="11" t="s">
        <v>1224</v>
      </c>
      <c r="B8" s="11" t="s">
        <v>395</v>
      </c>
      <c r="C8" s="11" t="s">
        <v>1218</v>
      </c>
      <c r="D8" s="11" t="s">
        <v>1225</v>
      </c>
      <c r="E8" s="11" t="s">
        <v>1226</v>
      </c>
      <c r="F8" s="11" t="s">
        <v>516</v>
      </c>
      <c r="G8" s="11" t="s">
        <v>1227</v>
      </c>
      <c r="H8" s="11" t="s">
        <v>518</v>
      </c>
      <c r="I8" s="11" t="s">
        <v>1228</v>
      </c>
      <c r="J8" s="11" t="s">
        <v>1207</v>
      </c>
      <c r="K8" s="11" t="s">
        <v>1229</v>
      </c>
      <c r="L8" s="11" t="s">
        <v>59</v>
      </c>
      <c r="M8" s="11" t="s">
        <v>60</v>
      </c>
      <c r="N8" s="11"/>
      <c r="O8" s="11"/>
      <c r="P8" s="11"/>
      <c r="Q8" s="7" t="str">
        <f aca="false">IF(D8="","",IF(AND(M8="Approved",N8&lt;&gt;"",O8&lt;&gt;""),"Ready","Not yet"))</f>
        <v>Not yet</v>
      </c>
    </row>
    <row r="9" customFormat="false" ht="23.25" hidden="false" customHeight="true" outlineLevel="0" collapsed="false">
      <c r="A9" s="11" t="s">
        <v>1230</v>
      </c>
      <c r="B9" s="11" t="s">
        <v>395</v>
      </c>
      <c r="C9" s="11" t="s">
        <v>1181</v>
      </c>
      <c r="D9" s="11" t="s">
        <v>1231</v>
      </c>
      <c r="E9" s="11" t="s">
        <v>1232</v>
      </c>
      <c r="F9" s="11" t="s">
        <v>1233</v>
      </c>
      <c r="G9" s="11" t="s">
        <v>1234</v>
      </c>
      <c r="H9" s="11" t="s">
        <v>1235</v>
      </c>
      <c r="I9" s="11" t="s">
        <v>1236</v>
      </c>
      <c r="J9" s="11" t="s">
        <v>1237</v>
      </c>
      <c r="K9" s="11" t="s">
        <v>1238</v>
      </c>
      <c r="L9" s="11" t="s">
        <v>59</v>
      </c>
      <c r="M9" s="11" t="s">
        <v>60</v>
      </c>
      <c r="N9" s="11"/>
      <c r="O9" s="11"/>
      <c r="P9" s="11"/>
      <c r="Q9" s="7" t="str">
        <f aca="false">IF(D9="","",IF(AND(M9="Approved",N9&lt;&gt;"",O9&lt;&gt;""),"Ready","Not yet"))</f>
        <v>Not yet</v>
      </c>
    </row>
    <row r="10" customFormat="false" ht="23.25" hidden="false" customHeight="true" outlineLevel="0" collapsed="false">
      <c r="A10" s="11" t="s">
        <v>1239</v>
      </c>
      <c r="B10" s="11" t="s">
        <v>395</v>
      </c>
      <c r="C10" s="11" t="s">
        <v>1181</v>
      </c>
      <c r="D10" s="11" t="s">
        <v>1240</v>
      </c>
      <c r="E10" s="11" t="s">
        <v>1241</v>
      </c>
      <c r="F10" s="11" t="s">
        <v>1242</v>
      </c>
      <c r="G10" s="11" t="s">
        <v>1243</v>
      </c>
      <c r="H10" s="11" t="s">
        <v>1244</v>
      </c>
      <c r="I10" s="11" t="s">
        <v>1245</v>
      </c>
      <c r="J10" s="11" t="s">
        <v>1237</v>
      </c>
      <c r="K10" s="11" t="s">
        <v>1246</v>
      </c>
      <c r="L10" s="11" t="s">
        <v>59</v>
      </c>
      <c r="M10" s="11" t="s">
        <v>60</v>
      </c>
      <c r="N10" s="11"/>
      <c r="O10" s="11"/>
      <c r="P10" s="11"/>
      <c r="Q10" s="7" t="str">
        <f aca="false">IF(D10="","",IF(AND(M10="Approved",N10&lt;&gt;"",O10&lt;&gt;""),"Ready","Not yet"))</f>
        <v>Not yet</v>
      </c>
    </row>
    <row r="11" customFormat="false" ht="23.25" hidden="false" customHeight="true" outlineLevel="0" collapsed="false">
      <c r="A11" s="11" t="s">
        <v>1247</v>
      </c>
      <c r="B11" s="11" t="s">
        <v>607</v>
      </c>
      <c r="C11" s="11" t="s">
        <v>1210</v>
      </c>
      <c r="D11" s="11" t="s">
        <v>1248</v>
      </c>
      <c r="E11" s="11" t="s">
        <v>1249</v>
      </c>
      <c r="F11" s="11" t="s">
        <v>635</v>
      </c>
      <c r="G11" s="11" t="s">
        <v>1250</v>
      </c>
      <c r="H11" s="11" t="s">
        <v>637</v>
      </c>
      <c r="I11" s="11" t="s">
        <v>1251</v>
      </c>
      <c r="J11" s="11" t="s">
        <v>1252</v>
      </c>
      <c r="K11" s="11" t="s">
        <v>1253</v>
      </c>
      <c r="L11" s="11" t="s">
        <v>59</v>
      </c>
      <c r="M11" s="11" t="s">
        <v>60</v>
      </c>
      <c r="N11" s="11"/>
      <c r="O11" s="11"/>
      <c r="P11" s="11"/>
      <c r="Q11" s="7" t="str">
        <f aca="false">IF(D11="","",IF(AND(M11="Approved",N11&lt;&gt;"",O11&lt;&gt;""),"Ready","Not yet"))</f>
        <v>Not yet</v>
      </c>
    </row>
    <row r="12" customFormat="false" ht="34.5" hidden="false" customHeight="true" outlineLevel="0" collapsed="false">
      <c r="A12" s="11" t="s">
        <v>1254</v>
      </c>
      <c r="B12" s="11" t="s">
        <v>607</v>
      </c>
      <c r="C12" s="11" t="s">
        <v>1255</v>
      </c>
      <c r="D12" s="11" t="s">
        <v>1256</v>
      </c>
      <c r="E12" s="11" t="s">
        <v>1257</v>
      </c>
      <c r="F12" s="11" t="s">
        <v>640</v>
      </c>
      <c r="G12" s="11" t="s">
        <v>1258</v>
      </c>
      <c r="H12" s="11" t="s">
        <v>642</v>
      </c>
      <c r="I12" s="11" t="s">
        <v>1259</v>
      </c>
      <c r="J12" s="11" t="s">
        <v>853</v>
      </c>
      <c r="K12" s="11" t="s">
        <v>1260</v>
      </c>
      <c r="L12" s="11" t="s">
        <v>59</v>
      </c>
      <c r="M12" s="11" t="s">
        <v>60</v>
      </c>
      <c r="N12" s="11"/>
      <c r="O12" s="11"/>
      <c r="P12" s="11"/>
      <c r="Q12" s="7" t="str">
        <f aca="false">IF(D12="","",IF(AND(M12="Approved",N12&lt;&gt;"",O12&lt;&gt;""),"Ready","Not yet"))</f>
        <v>Not yet</v>
      </c>
    </row>
    <row r="13" customFormat="false" ht="23.25" hidden="false" customHeight="true" outlineLevel="0" collapsed="false">
      <c r="A13" s="11" t="s">
        <v>1261</v>
      </c>
      <c r="B13" s="11" t="s">
        <v>607</v>
      </c>
      <c r="C13" s="11" t="s">
        <v>1255</v>
      </c>
      <c r="D13" s="11" t="s">
        <v>1262</v>
      </c>
      <c r="E13" s="11" t="s">
        <v>1263</v>
      </c>
      <c r="F13" s="11" t="s">
        <v>660</v>
      </c>
      <c r="G13" s="11" t="s">
        <v>1264</v>
      </c>
      <c r="H13" s="11" t="s">
        <v>662</v>
      </c>
      <c r="I13" s="11" t="s">
        <v>1265</v>
      </c>
      <c r="J13" s="11" t="s">
        <v>1207</v>
      </c>
      <c r="K13" s="11" t="s">
        <v>1266</v>
      </c>
      <c r="L13" s="11" t="s">
        <v>59</v>
      </c>
      <c r="M13" s="11" t="s">
        <v>60</v>
      </c>
      <c r="N13" s="11"/>
      <c r="O13" s="11"/>
      <c r="P13" s="11"/>
      <c r="Q13" s="7" t="str">
        <f aca="false">IF(D13="","",IF(AND(M13="Approved",N13&lt;&gt;"",O13&lt;&gt;""),"Ready","Not yet"))</f>
        <v>Not yet</v>
      </c>
    </row>
    <row r="14" customFormat="false" ht="34.5" hidden="false" customHeight="true" outlineLevel="0" collapsed="false">
      <c r="A14" s="11" t="s">
        <v>1267</v>
      </c>
      <c r="B14" s="11" t="s">
        <v>607</v>
      </c>
      <c r="C14" s="11" t="s">
        <v>1181</v>
      </c>
      <c r="D14" s="11" t="s">
        <v>1268</v>
      </c>
      <c r="E14" s="11" t="s">
        <v>1183</v>
      </c>
      <c r="F14" s="11" t="s">
        <v>655</v>
      </c>
      <c r="G14" s="11" t="s">
        <v>1269</v>
      </c>
      <c r="H14" s="11" t="s">
        <v>657</v>
      </c>
      <c r="I14" s="11" t="s">
        <v>1270</v>
      </c>
      <c r="J14" s="11" t="s">
        <v>1186</v>
      </c>
      <c r="K14" s="11" t="s">
        <v>1271</v>
      </c>
      <c r="L14" s="11" t="s">
        <v>59</v>
      </c>
      <c r="M14" s="11" t="s">
        <v>60</v>
      </c>
      <c r="N14" s="11"/>
      <c r="O14" s="11"/>
      <c r="P14" s="11"/>
      <c r="Q14" s="7" t="str">
        <f aca="false">IF(D14="","",IF(AND(M14="Approved",N14&lt;&gt;"",O14&lt;&gt;""),"Ready","Not yet"))</f>
        <v>Not yet</v>
      </c>
    </row>
    <row r="15" customFormat="false" ht="34.5" hidden="false" customHeight="true" outlineLevel="0" collapsed="false">
      <c r="A15" s="11" t="s">
        <v>1272</v>
      </c>
      <c r="B15" s="11" t="s">
        <v>607</v>
      </c>
      <c r="C15" s="11" t="s">
        <v>1273</v>
      </c>
      <c r="D15" s="11" t="s">
        <v>1274</v>
      </c>
      <c r="E15" s="11" t="s">
        <v>1263</v>
      </c>
      <c r="F15" s="11" t="s">
        <v>1275</v>
      </c>
      <c r="G15" s="11" t="s">
        <v>1276</v>
      </c>
      <c r="H15" s="11" t="s">
        <v>1277</v>
      </c>
      <c r="I15" s="11" t="s">
        <v>1278</v>
      </c>
      <c r="J15" s="11" t="s">
        <v>1207</v>
      </c>
      <c r="K15" s="11" t="s">
        <v>1279</v>
      </c>
      <c r="L15" s="11" t="s">
        <v>59</v>
      </c>
      <c r="M15" s="11" t="s">
        <v>60</v>
      </c>
      <c r="N15" s="11"/>
      <c r="O15" s="11"/>
      <c r="P15" s="11"/>
      <c r="Q15" s="7" t="str">
        <f aca="false">IF(D15="","",IF(AND(M15="Approved",N15&lt;&gt;"",O15&lt;&gt;""),"Ready","Not yet"))</f>
        <v>Not yet</v>
      </c>
    </row>
    <row r="16" customFormat="false" ht="23.25" hidden="false" customHeight="true" outlineLevel="0" collapsed="false">
      <c r="A16" s="11" t="s">
        <v>1280</v>
      </c>
      <c r="B16" s="11" t="s">
        <v>607</v>
      </c>
      <c r="C16" s="11" t="s">
        <v>1181</v>
      </c>
      <c r="D16" s="11" t="s">
        <v>1281</v>
      </c>
      <c r="E16" s="11" t="s">
        <v>1282</v>
      </c>
      <c r="F16" s="11" t="s">
        <v>1283</v>
      </c>
      <c r="G16" s="11" t="s">
        <v>1284</v>
      </c>
      <c r="H16" s="11" t="s">
        <v>1285</v>
      </c>
      <c r="I16" s="11" t="s">
        <v>1286</v>
      </c>
      <c r="J16" s="11" t="s">
        <v>1287</v>
      </c>
      <c r="K16" s="11" t="s">
        <v>1288</v>
      </c>
      <c r="L16" s="11" t="s">
        <v>59</v>
      </c>
      <c r="M16" s="11" t="s">
        <v>60</v>
      </c>
      <c r="N16" s="11"/>
      <c r="O16" s="11"/>
      <c r="P16" s="11"/>
      <c r="Q16" s="7" t="str">
        <f aca="false">IF(D16="","",IF(AND(M16="Approved",N16&lt;&gt;"",O16&lt;&gt;""),"Ready","Not yet"))</f>
        <v>Not yet</v>
      </c>
    </row>
    <row r="17" customFormat="false" ht="34.5" hidden="false" customHeight="true" outlineLevel="0" collapsed="false">
      <c r="A17" s="11" t="s">
        <v>1289</v>
      </c>
      <c r="B17" s="11" t="s">
        <v>607</v>
      </c>
      <c r="C17" s="11" t="s">
        <v>1181</v>
      </c>
      <c r="D17" s="11" t="s">
        <v>1290</v>
      </c>
      <c r="E17" s="11" t="s">
        <v>1291</v>
      </c>
      <c r="F17" s="11" t="s">
        <v>1292</v>
      </c>
      <c r="G17" s="11" t="s">
        <v>1284</v>
      </c>
      <c r="H17" s="11" t="s">
        <v>1293</v>
      </c>
      <c r="I17" s="11" t="s">
        <v>1286</v>
      </c>
      <c r="J17" s="11" t="s">
        <v>1287</v>
      </c>
      <c r="K17" s="11" t="s">
        <v>1294</v>
      </c>
      <c r="L17" s="11" t="s">
        <v>59</v>
      </c>
      <c r="M17" s="11" t="s">
        <v>60</v>
      </c>
      <c r="N17" s="11"/>
      <c r="O17" s="11"/>
      <c r="P17" s="11"/>
      <c r="Q17" s="7" t="str">
        <f aca="false">IF(D17="","",IF(AND(M17="Approved",N17&lt;&gt;"",O17&lt;&gt;""),"Ready","Not yet"))</f>
        <v>Not yet</v>
      </c>
    </row>
    <row r="18" customFormat="false" ht="34.5" hidden="false" customHeight="true" outlineLevel="0" collapsed="false">
      <c r="A18" s="11" t="s">
        <v>1295</v>
      </c>
      <c r="B18" s="11" t="s">
        <v>607</v>
      </c>
      <c r="C18" s="11" t="s">
        <v>1181</v>
      </c>
      <c r="D18" s="11" t="s">
        <v>1296</v>
      </c>
      <c r="E18" s="11" t="s">
        <v>1190</v>
      </c>
      <c r="F18" s="11" t="s">
        <v>459</v>
      </c>
      <c r="G18" s="11" t="s">
        <v>1297</v>
      </c>
      <c r="H18" s="11" t="s">
        <v>461</v>
      </c>
      <c r="I18" s="11" t="s">
        <v>1298</v>
      </c>
      <c r="J18" s="11" t="s">
        <v>1193</v>
      </c>
      <c r="K18" s="11" t="s">
        <v>1299</v>
      </c>
      <c r="L18" s="11" t="s">
        <v>59</v>
      </c>
      <c r="M18" s="11" t="s">
        <v>60</v>
      </c>
      <c r="N18" s="11"/>
      <c r="O18" s="11"/>
      <c r="P18" s="11"/>
      <c r="Q18" s="7" t="str">
        <f aca="false">IF(D18="","",IF(AND(M18="Approved",N18&lt;&gt;"",O18&lt;&gt;""),"Ready","Not yet"))</f>
        <v>Not yet</v>
      </c>
    </row>
    <row r="19" customFormat="false" ht="34.5" hidden="false" customHeight="true" outlineLevel="0" collapsed="false">
      <c r="A19" s="11" t="s">
        <v>1300</v>
      </c>
      <c r="B19" s="11" t="s">
        <v>689</v>
      </c>
      <c r="C19" s="11" t="s">
        <v>1181</v>
      </c>
      <c r="D19" s="11" t="s">
        <v>1301</v>
      </c>
      <c r="E19" s="11" t="s">
        <v>1183</v>
      </c>
      <c r="F19" s="11" t="s">
        <v>1302</v>
      </c>
      <c r="G19" s="11" t="s">
        <v>1303</v>
      </c>
      <c r="H19" s="11" t="s">
        <v>688</v>
      </c>
      <c r="I19" s="11" t="s">
        <v>1304</v>
      </c>
      <c r="J19" s="11" t="s">
        <v>1186</v>
      </c>
      <c r="K19" s="11" t="s">
        <v>1305</v>
      </c>
      <c r="L19" s="11" t="s">
        <v>59</v>
      </c>
      <c r="M19" s="11" t="s">
        <v>60</v>
      </c>
      <c r="N19" s="11"/>
      <c r="O19" s="11"/>
      <c r="P19" s="11"/>
      <c r="Q19" s="7" t="str">
        <f aca="false">IF(D19="","",IF(AND(M19="Approved",N19&lt;&gt;"",O19&lt;&gt;""),"Ready","Not yet"))</f>
        <v>Not yet</v>
      </c>
    </row>
    <row r="20" customFormat="false" ht="34.5" hidden="false" customHeight="true" outlineLevel="0" collapsed="false">
      <c r="A20" s="11" t="s">
        <v>1306</v>
      </c>
      <c r="B20" s="11" t="s">
        <v>689</v>
      </c>
      <c r="C20" s="11" t="s">
        <v>1210</v>
      </c>
      <c r="D20" s="11" t="s">
        <v>1307</v>
      </c>
      <c r="E20" s="11" t="s">
        <v>1308</v>
      </c>
      <c r="F20" s="11" t="s">
        <v>702</v>
      </c>
      <c r="G20" s="11" t="s">
        <v>1309</v>
      </c>
      <c r="H20" s="11" t="s">
        <v>704</v>
      </c>
      <c r="I20" s="11" t="s">
        <v>1251</v>
      </c>
      <c r="J20" s="11" t="s">
        <v>1310</v>
      </c>
      <c r="K20" s="11" t="s">
        <v>1311</v>
      </c>
      <c r="L20" s="11" t="s">
        <v>59</v>
      </c>
      <c r="M20" s="11" t="s">
        <v>60</v>
      </c>
      <c r="N20" s="11"/>
      <c r="O20" s="11"/>
      <c r="P20" s="11"/>
      <c r="Q20" s="7" t="str">
        <f aca="false">IF(D20="","",IF(AND(M20="Approved",N20&lt;&gt;"",O20&lt;&gt;""),"Ready","Not yet"))</f>
        <v>Not yet</v>
      </c>
    </row>
    <row r="21" customFormat="false" ht="23.25" hidden="false" customHeight="true" outlineLevel="0" collapsed="false">
      <c r="A21" s="11" t="s">
        <v>1312</v>
      </c>
      <c r="B21" s="11" t="s">
        <v>689</v>
      </c>
      <c r="C21" s="11" t="s">
        <v>1181</v>
      </c>
      <c r="D21" s="11" t="s">
        <v>1313</v>
      </c>
      <c r="E21" s="11" t="s">
        <v>1183</v>
      </c>
      <c r="F21" s="11" t="s">
        <v>692</v>
      </c>
      <c r="G21" s="11" t="s">
        <v>1314</v>
      </c>
      <c r="H21" s="11" t="s">
        <v>694</v>
      </c>
      <c r="I21" s="11" t="s">
        <v>1315</v>
      </c>
      <c r="J21" s="11" t="s">
        <v>1186</v>
      </c>
      <c r="K21" s="11" t="s">
        <v>1316</v>
      </c>
      <c r="L21" s="11" t="s">
        <v>59</v>
      </c>
      <c r="M21" s="11" t="s">
        <v>60</v>
      </c>
      <c r="N21" s="11"/>
      <c r="O21" s="11"/>
      <c r="P21" s="11"/>
      <c r="Q21" s="7" t="str">
        <f aca="false">IF(D21="","",IF(AND(M21="Approved",N21&lt;&gt;"",O21&lt;&gt;""),"Ready","Not yet"))</f>
        <v>Not yet</v>
      </c>
    </row>
    <row r="22" customFormat="false" ht="34.5" hidden="false" customHeight="true" outlineLevel="0" collapsed="false">
      <c r="A22" s="11" t="s">
        <v>1317</v>
      </c>
      <c r="B22" s="11" t="s">
        <v>689</v>
      </c>
      <c r="C22" s="11" t="s">
        <v>1181</v>
      </c>
      <c r="D22" s="11" t="s">
        <v>1318</v>
      </c>
      <c r="E22" s="11" t="s">
        <v>1319</v>
      </c>
      <c r="F22" s="11" t="s">
        <v>1320</v>
      </c>
      <c r="G22" s="11" t="s">
        <v>1321</v>
      </c>
      <c r="H22" s="11" t="s">
        <v>1148</v>
      </c>
      <c r="I22" s="11" t="s">
        <v>1322</v>
      </c>
      <c r="J22" s="11" t="s">
        <v>1323</v>
      </c>
      <c r="K22" s="11" t="s">
        <v>1324</v>
      </c>
      <c r="L22" s="11" t="s">
        <v>59</v>
      </c>
      <c r="M22" s="11" t="s">
        <v>60</v>
      </c>
      <c r="N22" s="11"/>
      <c r="O22" s="11"/>
      <c r="P22" s="11"/>
      <c r="Q22" s="7" t="str">
        <f aca="false">IF(D22="","",IF(AND(M22="Approved",N22&lt;&gt;"",O22&lt;&gt;""),"Ready","Not yet"))</f>
        <v>Not yet</v>
      </c>
    </row>
    <row r="23" customFormat="false" ht="15" hidden="false" customHeight="true" outlineLevel="0" collapsed="false">
      <c r="A23" s="11"/>
      <c r="B23" s="11"/>
      <c r="C23" s="11"/>
      <c r="D23" s="11"/>
      <c r="E23" s="11"/>
      <c r="F23" s="11"/>
      <c r="G23" s="11"/>
      <c r="H23" s="11"/>
      <c r="I23" s="11"/>
      <c r="J23" s="11"/>
      <c r="K23" s="11"/>
      <c r="L23" s="11"/>
      <c r="M23" s="11"/>
      <c r="N23" s="11"/>
      <c r="O23" s="11"/>
      <c r="P23" s="11"/>
      <c r="Q23" s="7" t="str">
        <f aca="false">IF(D23="","",IF(AND(M23="Approved",N23&lt;&gt;"",O23&lt;&gt;""),"Ready","Not yet"))</f>
        <v/>
      </c>
    </row>
    <row r="24" customFormat="false" ht="15" hidden="false" customHeight="true" outlineLevel="0" collapsed="false">
      <c r="A24" s="11"/>
      <c r="B24" s="11"/>
      <c r="C24" s="11"/>
      <c r="D24" s="11"/>
      <c r="E24" s="11"/>
      <c r="F24" s="11"/>
      <c r="G24" s="11"/>
      <c r="H24" s="11"/>
      <c r="I24" s="11"/>
      <c r="J24" s="11"/>
      <c r="K24" s="11"/>
      <c r="L24" s="11"/>
      <c r="M24" s="11"/>
      <c r="N24" s="11"/>
      <c r="O24" s="11"/>
      <c r="P24" s="11"/>
      <c r="Q24" s="7" t="str">
        <f aca="false">IF(D24="","",IF(AND(M24="Approved",N24&lt;&gt;"",O24&lt;&gt;""),"Ready","Not yet"))</f>
        <v/>
      </c>
    </row>
    <row r="25" customFormat="false" ht="15" hidden="false" customHeight="true" outlineLevel="0" collapsed="false">
      <c r="A25" s="11"/>
      <c r="B25" s="11"/>
      <c r="C25" s="11"/>
      <c r="D25" s="11"/>
      <c r="E25" s="11"/>
      <c r="F25" s="11"/>
      <c r="G25" s="11"/>
      <c r="H25" s="11"/>
      <c r="I25" s="11"/>
      <c r="J25" s="11"/>
      <c r="K25" s="11"/>
      <c r="L25" s="11"/>
      <c r="M25" s="11"/>
      <c r="N25" s="11"/>
      <c r="O25" s="11"/>
      <c r="P25" s="11"/>
      <c r="Q25" s="7" t="str">
        <f aca="false">IF(D25="","",IF(AND(M25="Approved",N25&lt;&gt;"",O25&lt;&gt;""),"Ready","Not yet"))</f>
        <v/>
      </c>
    </row>
    <row r="26" customFormat="false" ht="15" hidden="false" customHeight="true" outlineLevel="0" collapsed="false">
      <c r="A26" s="11"/>
      <c r="B26" s="11"/>
      <c r="C26" s="11"/>
      <c r="D26" s="11"/>
      <c r="E26" s="11"/>
      <c r="F26" s="11"/>
      <c r="G26" s="11"/>
      <c r="H26" s="11"/>
      <c r="I26" s="11"/>
      <c r="J26" s="11"/>
      <c r="K26" s="11"/>
      <c r="L26" s="11"/>
      <c r="M26" s="11"/>
      <c r="N26" s="11"/>
      <c r="O26" s="11"/>
      <c r="P26" s="11"/>
      <c r="Q26" s="7" t="str">
        <f aca="false">IF(D26="","",IF(AND(M26="Approved",N26&lt;&gt;"",O26&lt;&gt;""),"Ready","Not yet"))</f>
        <v/>
      </c>
    </row>
    <row r="27" customFormat="false" ht="15" hidden="false" customHeight="true" outlineLevel="0" collapsed="false">
      <c r="A27" s="11"/>
      <c r="B27" s="11"/>
      <c r="C27" s="11"/>
      <c r="D27" s="11"/>
      <c r="E27" s="11"/>
      <c r="F27" s="11"/>
      <c r="G27" s="11"/>
      <c r="H27" s="11"/>
      <c r="I27" s="11"/>
      <c r="J27" s="11"/>
      <c r="K27" s="11"/>
      <c r="L27" s="11"/>
      <c r="M27" s="11"/>
      <c r="N27" s="11"/>
      <c r="O27" s="11"/>
      <c r="P27" s="11"/>
      <c r="Q27" s="7" t="str">
        <f aca="false">IF(D27="","",IF(AND(M27="Approved",N27&lt;&gt;"",O27&lt;&gt;""),"Ready","Not yet"))</f>
        <v/>
      </c>
    </row>
    <row r="28" customFormat="false" ht="15" hidden="false" customHeight="true" outlineLevel="0" collapsed="false">
      <c r="A28" s="11"/>
      <c r="B28" s="11"/>
      <c r="C28" s="11"/>
      <c r="D28" s="11"/>
      <c r="E28" s="11"/>
      <c r="F28" s="11"/>
      <c r="G28" s="11"/>
      <c r="H28" s="11"/>
      <c r="I28" s="11"/>
      <c r="J28" s="11"/>
      <c r="K28" s="11"/>
      <c r="L28" s="11"/>
      <c r="M28" s="11"/>
      <c r="N28" s="11"/>
      <c r="O28" s="11"/>
      <c r="P28" s="11"/>
      <c r="Q28" s="7" t="str">
        <f aca="false">IF(D28="","",IF(AND(M28="Approved",N28&lt;&gt;"",O28&lt;&gt;""),"Ready","Not yet"))</f>
        <v/>
      </c>
    </row>
    <row r="29" customFormat="false" ht="15" hidden="false" customHeight="true" outlineLevel="0" collapsed="false">
      <c r="A29" s="11"/>
      <c r="B29" s="11"/>
      <c r="C29" s="11"/>
      <c r="D29" s="11"/>
      <c r="E29" s="11"/>
      <c r="F29" s="11"/>
      <c r="G29" s="11"/>
      <c r="H29" s="11"/>
      <c r="I29" s="11"/>
      <c r="J29" s="11"/>
      <c r="K29" s="11"/>
      <c r="L29" s="11"/>
      <c r="M29" s="11"/>
      <c r="N29" s="11"/>
      <c r="O29" s="11"/>
      <c r="P29" s="11"/>
      <c r="Q29" s="7" t="str">
        <f aca="false">IF(D29="","",IF(AND(M29="Approved",N29&lt;&gt;"",O29&lt;&gt;""),"Ready","Not yet"))</f>
        <v/>
      </c>
    </row>
    <row r="30" customFormat="false" ht="15" hidden="false" customHeight="true" outlineLevel="0" collapsed="false">
      <c r="A30" s="11"/>
      <c r="B30" s="11"/>
      <c r="C30" s="11"/>
      <c r="D30" s="11"/>
      <c r="E30" s="11"/>
      <c r="F30" s="11"/>
      <c r="G30" s="11"/>
      <c r="H30" s="11"/>
      <c r="I30" s="11"/>
      <c r="J30" s="11"/>
      <c r="K30" s="11"/>
      <c r="L30" s="11"/>
      <c r="M30" s="11"/>
      <c r="N30" s="11"/>
      <c r="O30" s="11"/>
      <c r="P30" s="11"/>
      <c r="Q30" s="7" t="str">
        <f aca="false">IF(D30="","",IF(AND(M30="Approved",N30&lt;&gt;"",O30&lt;&gt;""),"Ready","Not yet"))</f>
        <v/>
      </c>
    </row>
    <row r="31" customFormat="false" ht="15" hidden="false" customHeight="true" outlineLevel="0" collapsed="false">
      <c r="A31" s="11"/>
      <c r="B31" s="11"/>
      <c r="C31" s="11"/>
      <c r="D31" s="11"/>
      <c r="E31" s="11"/>
      <c r="F31" s="11"/>
      <c r="G31" s="11"/>
      <c r="H31" s="11"/>
      <c r="I31" s="11"/>
      <c r="J31" s="11"/>
      <c r="K31" s="11"/>
      <c r="L31" s="11"/>
      <c r="M31" s="11"/>
      <c r="N31" s="11"/>
      <c r="O31" s="11"/>
      <c r="P31" s="11"/>
      <c r="Q31" s="7" t="str">
        <f aca="false">IF(D31="","",IF(AND(M31="Approved",N31&lt;&gt;"",O31&lt;&gt;""),"Ready","Not yet"))</f>
        <v/>
      </c>
    </row>
    <row r="32" customFormat="false" ht="15" hidden="false" customHeight="true" outlineLevel="0" collapsed="false">
      <c r="A32" s="11"/>
      <c r="B32" s="11"/>
      <c r="C32" s="11"/>
      <c r="D32" s="11"/>
      <c r="E32" s="11"/>
      <c r="F32" s="11"/>
      <c r="G32" s="11"/>
      <c r="H32" s="11"/>
      <c r="I32" s="11"/>
      <c r="J32" s="11"/>
      <c r="K32" s="11"/>
      <c r="L32" s="11"/>
      <c r="M32" s="11"/>
      <c r="N32" s="11"/>
      <c r="O32" s="11"/>
      <c r="P32" s="11"/>
      <c r="Q32" s="7" t="str">
        <f aca="false">IF(D32="","",IF(AND(M32="Approved",N32&lt;&gt;"",O32&lt;&gt;""),"Ready","Not yet"))</f>
        <v/>
      </c>
    </row>
    <row r="33" customFormat="false" ht="15" hidden="false" customHeight="true" outlineLevel="0" collapsed="false">
      <c r="A33" s="11"/>
      <c r="B33" s="11"/>
      <c r="C33" s="11"/>
      <c r="D33" s="11"/>
      <c r="E33" s="11"/>
      <c r="F33" s="11"/>
      <c r="G33" s="11"/>
      <c r="H33" s="11"/>
      <c r="I33" s="11"/>
      <c r="J33" s="11"/>
      <c r="K33" s="11"/>
      <c r="L33" s="11"/>
      <c r="M33" s="11"/>
      <c r="N33" s="11"/>
      <c r="O33" s="11"/>
      <c r="P33" s="11"/>
      <c r="Q33" s="7" t="str">
        <f aca="false">IF(D33="","",IF(AND(M33="Approved",N33&lt;&gt;"",O33&lt;&gt;""),"Ready","Not yet"))</f>
        <v/>
      </c>
    </row>
    <row r="34" customFormat="false" ht="15" hidden="false" customHeight="true" outlineLevel="0" collapsed="false">
      <c r="A34" s="11"/>
      <c r="B34" s="11"/>
      <c r="C34" s="11"/>
      <c r="D34" s="11"/>
      <c r="E34" s="11"/>
      <c r="F34" s="11"/>
      <c r="G34" s="11"/>
      <c r="H34" s="11"/>
      <c r="I34" s="11"/>
      <c r="J34" s="11"/>
      <c r="K34" s="11"/>
      <c r="L34" s="11"/>
      <c r="M34" s="11"/>
      <c r="N34" s="11"/>
      <c r="O34" s="11"/>
      <c r="P34" s="11"/>
      <c r="Q34" s="7" t="str">
        <f aca="false">IF(D34="","",IF(AND(M34="Approved",N34&lt;&gt;"",O34&lt;&gt;""),"Ready","Not yet"))</f>
        <v/>
      </c>
    </row>
    <row r="35" customFormat="false" ht="15" hidden="false" customHeight="true" outlineLevel="0" collapsed="false">
      <c r="A35" s="11"/>
      <c r="B35" s="11"/>
      <c r="C35" s="11"/>
      <c r="D35" s="11"/>
      <c r="E35" s="11"/>
      <c r="F35" s="11"/>
      <c r="G35" s="11"/>
      <c r="H35" s="11"/>
      <c r="I35" s="11"/>
      <c r="J35" s="11"/>
      <c r="K35" s="11"/>
      <c r="L35" s="11"/>
      <c r="M35" s="11"/>
      <c r="N35" s="11"/>
      <c r="O35" s="11"/>
      <c r="P35" s="11"/>
      <c r="Q35" s="7" t="str">
        <f aca="false">IF(D35="","",IF(AND(M35="Approved",N35&lt;&gt;"",O35&lt;&gt;""),"Ready","Not yet"))</f>
        <v/>
      </c>
    </row>
    <row r="36" customFormat="false" ht="15" hidden="false" customHeight="true" outlineLevel="0" collapsed="false">
      <c r="A36" s="11"/>
      <c r="B36" s="11"/>
      <c r="C36" s="11"/>
      <c r="D36" s="11"/>
      <c r="E36" s="11"/>
      <c r="F36" s="11"/>
      <c r="G36" s="11"/>
      <c r="H36" s="11"/>
      <c r="I36" s="11"/>
      <c r="J36" s="11"/>
      <c r="K36" s="11"/>
      <c r="L36" s="11"/>
      <c r="M36" s="11"/>
      <c r="N36" s="11"/>
      <c r="O36" s="11"/>
      <c r="P36" s="11"/>
      <c r="Q36" s="7" t="str">
        <f aca="false">IF(D36="","",IF(AND(M36="Approved",N36&lt;&gt;"",O36&lt;&gt;""),"Ready","Not yet"))</f>
        <v/>
      </c>
    </row>
    <row r="37" customFormat="false" ht="15" hidden="false" customHeight="true" outlineLevel="0" collapsed="false">
      <c r="A37" s="11"/>
      <c r="B37" s="11"/>
      <c r="C37" s="11"/>
      <c r="D37" s="11"/>
      <c r="E37" s="11"/>
      <c r="F37" s="11"/>
      <c r="G37" s="11"/>
      <c r="H37" s="11"/>
      <c r="I37" s="11"/>
      <c r="J37" s="11"/>
      <c r="K37" s="11"/>
      <c r="L37" s="11"/>
      <c r="M37" s="11"/>
      <c r="N37" s="11"/>
      <c r="O37" s="11"/>
      <c r="P37" s="11"/>
      <c r="Q37" s="7" t="str">
        <f aca="false">IF(D37="","",IF(AND(M37="Approved",N37&lt;&gt;"",O37&lt;&gt;""),"Ready","Not yet"))</f>
        <v/>
      </c>
    </row>
    <row r="38" customFormat="false" ht="15" hidden="false" customHeight="true" outlineLevel="0" collapsed="false">
      <c r="A38" s="11"/>
      <c r="B38" s="11"/>
      <c r="C38" s="11"/>
      <c r="D38" s="11"/>
      <c r="E38" s="11"/>
      <c r="F38" s="11"/>
      <c r="G38" s="11"/>
      <c r="H38" s="11"/>
      <c r="I38" s="11"/>
      <c r="J38" s="11"/>
      <c r="K38" s="11"/>
      <c r="L38" s="11"/>
      <c r="M38" s="11"/>
      <c r="N38" s="11"/>
      <c r="O38" s="11"/>
      <c r="P38" s="11"/>
      <c r="Q38" s="7" t="str">
        <f aca="false">IF(D38="","",IF(AND(M38="Approved",N38&lt;&gt;"",O38&lt;&gt;""),"Ready","Not yet"))</f>
        <v/>
      </c>
    </row>
    <row r="39" customFormat="false" ht="15" hidden="false" customHeight="true" outlineLevel="0" collapsed="false">
      <c r="A39" s="11"/>
      <c r="B39" s="11"/>
      <c r="C39" s="11"/>
      <c r="D39" s="11"/>
      <c r="E39" s="11"/>
      <c r="F39" s="11"/>
      <c r="G39" s="11"/>
      <c r="H39" s="11"/>
      <c r="I39" s="11"/>
      <c r="J39" s="11"/>
      <c r="K39" s="11"/>
      <c r="L39" s="11"/>
      <c r="M39" s="11"/>
      <c r="N39" s="11"/>
      <c r="O39" s="11"/>
      <c r="P39" s="11"/>
      <c r="Q39" s="7" t="str">
        <f aca="false">IF(D39="","",IF(AND(M39="Approved",N39&lt;&gt;"",O39&lt;&gt;""),"Ready","Not yet"))</f>
        <v/>
      </c>
    </row>
    <row r="40" customFormat="false" ht="15" hidden="false" customHeight="true" outlineLevel="0" collapsed="false">
      <c r="A40" s="11"/>
      <c r="B40" s="11"/>
      <c r="C40" s="11"/>
      <c r="D40" s="11"/>
      <c r="E40" s="11"/>
      <c r="F40" s="11"/>
      <c r="G40" s="11"/>
      <c r="H40" s="11"/>
      <c r="I40" s="11"/>
      <c r="J40" s="11"/>
      <c r="K40" s="11"/>
      <c r="L40" s="11"/>
      <c r="M40" s="11"/>
      <c r="N40" s="11"/>
      <c r="O40" s="11"/>
      <c r="P40" s="11"/>
      <c r="Q40" s="7" t="str">
        <f aca="false">IF(D40="","",IF(AND(M40="Approved",N40&lt;&gt;"",O40&lt;&gt;""),"Ready","Not yet"))</f>
        <v/>
      </c>
    </row>
    <row r="41" customFormat="false" ht="15" hidden="false" customHeight="true" outlineLevel="0" collapsed="false">
      <c r="A41" s="11"/>
      <c r="B41" s="11"/>
      <c r="C41" s="11"/>
      <c r="D41" s="11"/>
      <c r="E41" s="11"/>
      <c r="F41" s="11"/>
      <c r="G41" s="11"/>
      <c r="H41" s="11"/>
      <c r="I41" s="11"/>
      <c r="J41" s="11"/>
      <c r="K41" s="11"/>
      <c r="L41" s="11"/>
      <c r="M41" s="11"/>
      <c r="N41" s="11"/>
      <c r="O41" s="11"/>
      <c r="P41" s="11"/>
      <c r="Q41" s="7" t="str">
        <f aca="false">IF(D41="","",IF(AND(M41="Approved",N41&lt;&gt;"",O41&lt;&gt;""),"Ready","Not yet"))</f>
        <v/>
      </c>
    </row>
    <row r="42" customFormat="false" ht="15" hidden="false" customHeight="true" outlineLevel="0" collapsed="false">
      <c r="A42" s="11"/>
      <c r="B42" s="11"/>
      <c r="C42" s="11"/>
      <c r="D42" s="11"/>
      <c r="E42" s="11"/>
      <c r="F42" s="11"/>
      <c r="G42" s="11"/>
      <c r="H42" s="11"/>
      <c r="I42" s="11"/>
      <c r="J42" s="11"/>
      <c r="K42" s="11"/>
      <c r="L42" s="11"/>
      <c r="M42" s="11"/>
      <c r="N42" s="11"/>
      <c r="O42" s="11"/>
      <c r="P42" s="11"/>
      <c r="Q42" s="7" t="str">
        <f aca="false">IF(D42="","",IF(AND(M42="Approved",N42&lt;&gt;"",O42&lt;&gt;""),"Ready","Not yet"))</f>
        <v/>
      </c>
    </row>
    <row r="43" customFormat="false" ht="15" hidden="false" customHeight="true" outlineLevel="0" collapsed="false">
      <c r="A43" s="11"/>
      <c r="B43" s="11"/>
      <c r="C43" s="11"/>
      <c r="D43" s="11"/>
      <c r="E43" s="11"/>
      <c r="F43" s="11"/>
      <c r="G43" s="11"/>
      <c r="H43" s="11"/>
      <c r="I43" s="11"/>
      <c r="J43" s="11"/>
      <c r="K43" s="11"/>
      <c r="L43" s="11"/>
      <c r="M43" s="11"/>
      <c r="N43" s="11"/>
      <c r="O43" s="11"/>
      <c r="P43" s="11"/>
      <c r="Q43" s="7" t="str">
        <f aca="false">IF(D43="","",IF(AND(M43="Approved",N43&lt;&gt;"",O43&lt;&gt;""),"Ready","Not yet"))</f>
        <v/>
      </c>
    </row>
    <row r="44" customFormat="false" ht="15" hidden="false" customHeight="true" outlineLevel="0" collapsed="false">
      <c r="A44" s="11"/>
      <c r="B44" s="11"/>
      <c r="C44" s="11"/>
      <c r="D44" s="11"/>
      <c r="E44" s="11"/>
      <c r="F44" s="11"/>
      <c r="G44" s="11"/>
      <c r="H44" s="11"/>
      <c r="I44" s="11"/>
      <c r="J44" s="11"/>
      <c r="K44" s="11"/>
      <c r="L44" s="11"/>
      <c r="M44" s="11"/>
      <c r="N44" s="11"/>
      <c r="O44" s="11"/>
      <c r="P44" s="11"/>
      <c r="Q44" s="7" t="str">
        <f aca="false">IF(D44="","",IF(AND(M44="Approved",N44&lt;&gt;"",O44&lt;&gt;""),"Ready","Not yet"))</f>
        <v/>
      </c>
    </row>
    <row r="45" customFormat="false" ht="15" hidden="false" customHeight="true" outlineLevel="0" collapsed="false">
      <c r="A45" s="11"/>
      <c r="B45" s="11"/>
      <c r="C45" s="11"/>
      <c r="D45" s="11"/>
      <c r="E45" s="11"/>
      <c r="F45" s="11"/>
      <c r="G45" s="11"/>
      <c r="H45" s="11"/>
      <c r="I45" s="11"/>
      <c r="J45" s="11"/>
      <c r="K45" s="11"/>
      <c r="L45" s="11"/>
      <c r="M45" s="11"/>
      <c r="N45" s="11"/>
      <c r="O45" s="11"/>
      <c r="P45" s="11"/>
      <c r="Q45" s="7" t="str">
        <f aca="false">IF(D45="","",IF(AND(M45="Approved",N45&lt;&gt;"",O45&lt;&gt;""),"Ready","Not yet"))</f>
        <v/>
      </c>
    </row>
    <row r="46" customFormat="false" ht="15" hidden="false" customHeight="true" outlineLevel="0" collapsed="false">
      <c r="A46" s="11"/>
      <c r="B46" s="11"/>
      <c r="C46" s="11"/>
      <c r="D46" s="11"/>
      <c r="E46" s="11"/>
      <c r="F46" s="11"/>
      <c r="G46" s="11"/>
      <c r="H46" s="11"/>
      <c r="I46" s="11"/>
      <c r="J46" s="11"/>
      <c r="K46" s="11"/>
      <c r="L46" s="11"/>
      <c r="M46" s="11"/>
      <c r="N46" s="11"/>
      <c r="O46" s="11"/>
      <c r="P46" s="11"/>
      <c r="Q46" s="7" t="str">
        <f aca="false">IF(D46="","",IF(AND(M46="Approved",N46&lt;&gt;"",O46&lt;&gt;""),"Ready","Not yet"))</f>
        <v/>
      </c>
    </row>
    <row r="47" customFormat="false" ht="15" hidden="false" customHeight="true" outlineLevel="0" collapsed="false">
      <c r="A47" s="11"/>
      <c r="B47" s="11"/>
      <c r="C47" s="11"/>
      <c r="D47" s="11"/>
      <c r="E47" s="11"/>
      <c r="F47" s="11"/>
      <c r="G47" s="11"/>
      <c r="H47" s="11"/>
      <c r="I47" s="11"/>
      <c r="J47" s="11"/>
      <c r="K47" s="11"/>
      <c r="L47" s="11"/>
      <c r="M47" s="11"/>
      <c r="N47" s="11"/>
      <c r="O47" s="11"/>
      <c r="P47" s="11"/>
      <c r="Q47" s="7" t="str">
        <f aca="false">IF(D47="","",IF(AND(M47="Approved",N47&lt;&gt;"",O47&lt;&gt;""),"Ready","Not yet"))</f>
        <v/>
      </c>
    </row>
    <row r="48" customFormat="false" ht="15" hidden="false" customHeight="true" outlineLevel="0" collapsed="false">
      <c r="A48" s="11"/>
      <c r="B48" s="11"/>
      <c r="C48" s="11"/>
      <c r="D48" s="11"/>
      <c r="E48" s="11"/>
      <c r="F48" s="11"/>
      <c r="G48" s="11"/>
      <c r="H48" s="11"/>
      <c r="I48" s="11"/>
      <c r="J48" s="11"/>
      <c r="K48" s="11"/>
      <c r="L48" s="11"/>
      <c r="M48" s="11"/>
      <c r="N48" s="11"/>
      <c r="O48" s="11"/>
      <c r="P48" s="11"/>
      <c r="Q48" s="7" t="str">
        <f aca="false">IF(D48="","",IF(AND(M48="Approved",N48&lt;&gt;"",O48&lt;&gt;""),"Ready","Not yet"))</f>
        <v/>
      </c>
    </row>
    <row r="49" customFormat="false" ht="15" hidden="false" customHeight="true" outlineLevel="0" collapsed="false">
      <c r="A49" s="11"/>
      <c r="B49" s="11"/>
      <c r="C49" s="11"/>
      <c r="D49" s="11"/>
      <c r="E49" s="11"/>
      <c r="F49" s="11"/>
      <c r="G49" s="11"/>
      <c r="H49" s="11"/>
      <c r="I49" s="11"/>
      <c r="J49" s="11"/>
      <c r="K49" s="11"/>
      <c r="L49" s="11"/>
      <c r="M49" s="11"/>
      <c r="N49" s="11"/>
      <c r="O49" s="11"/>
      <c r="P49" s="11"/>
      <c r="Q49" s="7" t="str">
        <f aca="false">IF(D49="","",IF(AND(M49="Approved",N49&lt;&gt;"",O49&lt;&gt;""),"Ready","Not yet"))</f>
        <v/>
      </c>
    </row>
    <row r="50" customFormat="false" ht="15" hidden="false" customHeight="true" outlineLevel="0" collapsed="false">
      <c r="A50" s="11"/>
      <c r="B50" s="11"/>
      <c r="C50" s="11"/>
      <c r="D50" s="11"/>
      <c r="E50" s="11"/>
      <c r="F50" s="11"/>
      <c r="G50" s="11"/>
      <c r="H50" s="11"/>
      <c r="I50" s="11"/>
      <c r="J50" s="11"/>
      <c r="K50" s="11"/>
      <c r="L50" s="11"/>
      <c r="M50" s="11"/>
      <c r="N50" s="11"/>
      <c r="O50" s="11"/>
      <c r="P50" s="11"/>
      <c r="Q50" s="7" t="str">
        <f aca="false">IF(D50="","",IF(AND(M50="Approved",N50&lt;&gt;"",O50&lt;&gt;""),"Ready","Not yet"))</f>
        <v/>
      </c>
    </row>
    <row r="51" customFormat="false" ht="15" hidden="false" customHeight="true" outlineLevel="0" collapsed="false">
      <c r="A51" s="11"/>
      <c r="B51" s="11"/>
      <c r="C51" s="11"/>
      <c r="D51" s="11"/>
      <c r="E51" s="11"/>
      <c r="F51" s="11"/>
      <c r="G51" s="11"/>
      <c r="H51" s="11"/>
      <c r="I51" s="11"/>
      <c r="J51" s="11"/>
      <c r="K51" s="11"/>
      <c r="L51" s="11"/>
      <c r="M51" s="11"/>
      <c r="N51" s="11"/>
      <c r="O51" s="11"/>
      <c r="P51" s="11"/>
      <c r="Q51" s="7" t="str">
        <f aca="false">IF(D51="","",IF(AND(M51="Approved",N51&lt;&gt;"",O51&lt;&gt;""),"Ready","Not yet"))</f>
        <v/>
      </c>
    </row>
    <row r="52" customFormat="false" ht="15" hidden="false" customHeight="true" outlineLevel="0" collapsed="false">
      <c r="A52" s="11"/>
      <c r="B52" s="11"/>
      <c r="C52" s="11"/>
      <c r="D52" s="11"/>
      <c r="E52" s="11"/>
      <c r="F52" s="11"/>
      <c r="G52" s="11"/>
      <c r="H52" s="11"/>
      <c r="I52" s="11"/>
      <c r="J52" s="11"/>
      <c r="K52" s="11"/>
      <c r="L52" s="11"/>
      <c r="M52" s="11"/>
      <c r="N52" s="11"/>
      <c r="O52" s="11"/>
      <c r="P52" s="11"/>
      <c r="Q52" s="7" t="str">
        <f aca="false">IF(D52="","",IF(AND(M52="Approved",N52&lt;&gt;"",O52&lt;&gt;""),"Ready","Not yet"))</f>
        <v/>
      </c>
    </row>
    <row r="53" customFormat="false" ht="15" hidden="false" customHeight="true" outlineLevel="0" collapsed="false">
      <c r="A53" s="11"/>
      <c r="B53" s="11"/>
      <c r="C53" s="11"/>
      <c r="D53" s="11"/>
      <c r="E53" s="11"/>
      <c r="F53" s="11"/>
      <c r="G53" s="11"/>
      <c r="H53" s="11"/>
      <c r="I53" s="11"/>
      <c r="J53" s="11"/>
      <c r="K53" s="11"/>
      <c r="L53" s="11"/>
      <c r="M53" s="11"/>
      <c r="N53" s="11"/>
      <c r="O53" s="11"/>
      <c r="P53" s="11"/>
      <c r="Q53" s="7" t="str">
        <f aca="false">IF(D53="","",IF(AND(M53="Approved",N53&lt;&gt;"",O53&lt;&gt;""),"Ready","Not yet"))</f>
        <v/>
      </c>
    </row>
    <row r="54" customFormat="false" ht="15" hidden="false" customHeight="true" outlineLevel="0" collapsed="false">
      <c r="A54" s="11"/>
      <c r="B54" s="11"/>
      <c r="C54" s="11"/>
      <c r="D54" s="11"/>
      <c r="E54" s="11"/>
      <c r="F54" s="11"/>
      <c r="G54" s="11"/>
      <c r="H54" s="11"/>
      <c r="I54" s="11"/>
      <c r="J54" s="11"/>
      <c r="K54" s="11"/>
      <c r="L54" s="11"/>
      <c r="M54" s="11"/>
      <c r="N54" s="11"/>
      <c r="O54" s="11"/>
      <c r="P54" s="11"/>
      <c r="Q54" s="7" t="str">
        <f aca="false">IF(D54="","",IF(AND(M54="Approved",N54&lt;&gt;"",O54&lt;&gt;""),"Ready","Not yet"))</f>
        <v/>
      </c>
    </row>
    <row r="55" customFormat="false" ht="15" hidden="false" customHeight="true" outlineLevel="0" collapsed="false">
      <c r="A55" s="11"/>
      <c r="B55" s="11"/>
      <c r="C55" s="11"/>
      <c r="D55" s="11"/>
      <c r="E55" s="11"/>
      <c r="F55" s="11"/>
      <c r="G55" s="11"/>
      <c r="H55" s="11"/>
      <c r="I55" s="11"/>
      <c r="J55" s="11"/>
      <c r="K55" s="11"/>
      <c r="L55" s="11"/>
      <c r="M55" s="11"/>
      <c r="N55" s="11"/>
      <c r="O55" s="11"/>
      <c r="P55" s="11"/>
      <c r="Q55" s="7" t="str">
        <f aca="false">IF(D55="","",IF(AND(M55="Approved",N55&lt;&gt;"",O55&lt;&gt;""),"Ready","Not yet"))</f>
        <v/>
      </c>
    </row>
    <row r="56" customFormat="false" ht="15" hidden="false" customHeight="true" outlineLevel="0" collapsed="false">
      <c r="A56" s="11"/>
      <c r="B56" s="11"/>
      <c r="C56" s="11"/>
      <c r="D56" s="11"/>
      <c r="E56" s="11"/>
      <c r="F56" s="11"/>
      <c r="G56" s="11"/>
      <c r="H56" s="11"/>
      <c r="I56" s="11"/>
      <c r="J56" s="11"/>
      <c r="K56" s="11"/>
      <c r="L56" s="11"/>
      <c r="M56" s="11"/>
      <c r="N56" s="11"/>
      <c r="O56" s="11"/>
      <c r="P56" s="11"/>
      <c r="Q56" s="7" t="str">
        <f aca="false">IF(D56="","",IF(AND(M56="Approved",N56&lt;&gt;"",O56&lt;&gt;""),"Ready","Not yet"))</f>
        <v/>
      </c>
    </row>
    <row r="57" customFormat="false" ht="15" hidden="false" customHeight="true" outlineLevel="0" collapsed="false">
      <c r="A57" s="11"/>
      <c r="B57" s="11"/>
      <c r="C57" s="11"/>
      <c r="D57" s="11"/>
      <c r="E57" s="11"/>
      <c r="F57" s="11"/>
      <c r="G57" s="11"/>
      <c r="H57" s="11"/>
      <c r="I57" s="11"/>
      <c r="J57" s="11"/>
      <c r="K57" s="11"/>
      <c r="L57" s="11"/>
      <c r="M57" s="11"/>
      <c r="N57" s="11"/>
      <c r="O57" s="11"/>
      <c r="P57" s="11"/>
      <c r="Q57" s="7" t="str">
        <f aca="false">IF(D57="","",IF(AND(M57="Approved",N57&lt;&gt;"",O57&lt;&gt;""),"Ready","Not yet"))</f>
        <v/>
      </c>
    </row>
    <row r="58" customFormat="false" ht="15" hidden="false" customHeight="true" outlineLevel="0" collapsed="false">
      <c r="A58" s="11"/>
      <c r="B58" s="11"/>
      <c r="C58" s="11"/>
      <c r="D58" s="11"/>
      <c r="E58" s="11"/>
      <c r="F58" s="11"/>
      <c r="G58" s="11"/>
      <c r="H58" s="11"/>
      <c r="I58" s="11"/>
      <c r="J58" s="11"/>
      <c r="K58" s="11"/>
      <c r="L58" s="11"/>
      <c r="M58" s="11"/>
      <c r="N58" s="11"/>
      <c r="O58" s="11"/>
      <c r="P58" s="11"/>
      <c r="Q58" s="7" t="str">
        <f aca="false">IF(D58="","",IF(AND(M58="Approved",N58&lt;&gt;"",O58&lt;&gt;""),"Ready","Not yet"))</f>
        <v/>
      </c>
    </row>
    <row r="59" customFormat="false" ht="15" hidden="false" customHeight="true" outlineLevel="0" collapsed="false">
      <c r="A59" s="11"/>
      <c r="B59" s="11"/>
      <c r="C59" s="11"/>
      <c r="D59" s="11"/>
      <c r="E59" s="11"/>
      <c r="F59" s="11"/>
      <c r="G59" s="11"/>
      <c r="H59" s="11"/>
      <c r="I59" s="11"/>
      <c r="J59" s="11"/>
      <c r="K59" s="11"/>
      <c r="L59" s="11"/>
      <c r="M59" s="11"/>
      <c r="N59" s="11"/>
      <c r="O59" s="11"/>
      <c r="P59" s="11"/>
      <c r="Q59" s="7" t="str">
        <f aca="false">IF(D59="","",IF(AND(M59="Approved",N59&lt;&gt;"",O59&lt;&gt;""),"Ready","Not yet"))</f>
        <v/>
      </c>
    </row>
    <row r="60" customFormat="false" ht="15" hidden="false" customHeight="true" outlineLevel="0" collapsed="false">
      <c r="A60" s="11"/>
      <c r="B60" s="11"/>
      <c r="C60" s="11"/>
      <c r="D60" s="11"/>
      <c r="E60" s="11"/>
      <c r="F60" s="11"/>
      <c r="G60" s="11"/>
      <c r="H60" s="11"/>
      <c r="I60" s="11"/>
      <c r="J60" s="11"/>
      <c r="K60" s="11"/>
      <c r="L60" s="11"/>
      <c r="M60" s="11"/>
      <c r="N60" s="11"/>
      <c r="O60" s="11"/>
      <c r="P60" s="11"/>
      <c r="Q60" s="7" t="str">
        <f aca="false">IF(D60="","",IF(AND(M60="Approved",N60&lt;&gt;"",O60&lt;&gt;""),"Ready","Not yet"))</f>
        <v/>
      </c>
    </row>
    <row r="61" customFormat="false" ht="15" hidden="false" customHeight="true" outlineLevel="0" collapsed="false">
      <c r="A61" s="11"/>
      <c r="B61" s="11"/>
      <c r="C61" s="11"/>
      <c r="D61" s="11"/>
      <c r="E61" s="11"/>
      <c r="F61" s="11"/>
      <c r="G61" s="11"/>
      <c r="H61" s="11"/>
      <c r="I61" s="11"/>
      <c r="J61" s="11"/>
      <c r="K61" s="11"/>
      <c r="L61" s="11"/>
      <c r="M61" s="11"/>
      <c r="N61" s="11"/>
      <c r="O61" s="11"/>
      <c r="P61" s="11"/>
      <c r="Q61" s="7" t="str">
        <f aca="false">IF(D61="","",IF(AND(M61="Approved",N61&lt;&gt;"",O61&lt;&gt;""),"Ready","Not yet"))</f>
        <v/>
      </c>
    </row>
    <row r="62" customFormat="false" ht="15" hidden="false" customHeight="true" outlineLevel="0" collapsed="false">
      <c r="A62" s="11"/>
      <c r="B62" s="11"/>
      <c r="C62" s="11"/>
      <c r="D62" s="11"/>
      <c r="E62" s="11"/>
      <c r="F62" s="11"/>
      <c r="G62" s="11"/>
      <c r="H62" s="11"/>
      <c r="I62" s="11"/>
      <c r="J62" s="11"/>
      <c r="K62" s="11"/>
      <c r="L62" s="11"/>
      <c r="M62" s="11"/>
      <c r="N62" s="11"/>
      <c r="O62" s="11"/>
      <c r="P62" s="11"/>
      <c r="Q62" s="7" t="str">
        <f aca="false">IF(D62="","",IF(AND(M62="Approved",N62&lt;&gt;"",O62&lt;&gt;""),"Ready","Not yet"))</f>
        <v/>
      </c>
    </row>
    <row r="63" customFormat="false" ht="15" hidden="false" customHeight="true" outlineLevel="0" collapsed="false">
      <c r="A63" s="11"/>
      <c r="B63" s="11"/>
      <c r="C63" s="11"/>
      <c r="D63" s="11"/>
      <c r="E63" s="11"/>
      <c r="F63" s="11"/>
      <c r="G63" s="11"/>
      <c r="H63" s="11"/>
      <c r="I63" s="11"/>
      <c r="J63" s="11"/>
      <c r="K63" s="11"/>
      <c r="L63" s="11"/>
      <c r="M63" s="11"/>
      <c r="N63" s="11"/>
      <c r="O63" s="11"/>
      <c r="P63" s="11"/>
      <c r="Q63" s="7" t="str">
        <f aca="false">IF(D63="","",IF(AND(M63="Approved",N63&lt;&gt;"",O63&lt;&gt;""),"Ready","Not yet"))</f>
        <v/>
      </c>
    </row>
    <row r="64" customFormat="false" ht="15" hidden="false" customHeight="true" outlineLevel="0" collapsed="false">
      <c r="A64" s="11"/>
      <c r="B64" s="11"/>
      <c r="C64" s="11"/>
      <c r="D64" s="11"/>
      <c r="E64" s="11"/>
      <c r="F64" s="11"/>
      <c r="G64" s="11"/>
      <c r="H64" s="11"/>
      <c r="I64" s="11"/>
      <c r="J64" s="11"/>
      <c r="K64" s="11"/>
      <c r="L64" s="11"/>
      <c r="M64" s="11"/>
      <c r="N64" s="11"/>
      <c r="O64" s="11"/>
      <c r="P64" s="11"/>
      <c r="Q64" s="7" t="str">
        <f aca="false">IF(D64="","",IF(AND(M64="Approved",N64&lt;&gt;"",O64&lt;&gt;""),"Ready","Not yet"))</f>
        <v/>
      </c>
    </row>
    <row r="65" customFormat="false" ht="15" hidden="false" customHeight="true" outlineLevel="0" collapsed="false">
      <c r="A65" s="11"/>
      <c r="B65" s="11"/>
      <c r="C65" s="11"/>
      <c r="D65" s="11"/>
      <c r="E65" s="11"/>
      <c r="F65" s="11"/>
      <c r="G65" s="11"/>
      <c r="H65" s="11"/>
      <c r="I65" s="11"/>
      <c r="J65" s="11"/>
      <c r="K65" s="11"/>
      <c r="L65" s="11"/>
      <c r="M65" s="11"/>
      <c r="N65" s="11"/>
      <c r="O65" s="11"/>
      <c r="P65" s="11"/>
      <c r="Q65" s="7" t="str">
        <f aca="false">IF(D65="","",IF(AND(M65="Approved",N65&lt;&gt;"",O65&lt;&gt;""),"Ready","Not yet"))</f>
        <v/>
      </c>
    </row>
    <row r="66" customFormat="false" ht="15" hidden="false" customHeight="true" outlineLevel="0" collapsed="false">
      <c r="A66" s="11"/>
      <c r="B66" s="11"/>
      <c r="C66" s="11"/>
      <c r="D66" s="11"/>
      <c r="E66" s="11"/>
      <c r="F66" s="11"/>
      <c r="G66" s="11"/>
      <c r="H66" s="11"/>
      <c r="I66" s="11"/>
      <c r="J66" s="11"/>
      <c r="K66" s="11"/>
      <c r="L66" s="11"/>
      <c r="M66" s="11"/>
      <c r="N66" s="11"/>
      <c r="O66" s="11"/>
      <c r="P66" s="11"/>
      <c r="Q66" s="7" t="str">
        <f aca="false">IF(D66="","",IF(AND(M66="Approved",N66&lt;&gt;"",O66&lt;&gt;""),"Ready","Not yet"))</f>
        <v/>
      </c>
    </row>
    <row r="67" customFormat="false" ht="15" hidden="false" customHeight="true" outlineLevel="0" collapsed="false">
      <c r="A67" s="11"/>
      <c r="B67" s="11"/>
      <c r="C67" s="11"/>
      <c r="D67" s="11"/>
      <c r="E67" s="11"/>
      <c r="F67" s="11"/>
      <c r="G67" s="11"/>
      <c r="H67" s="11"/>
      <c r="I67" s="11"/>
      <c r="J67" s="11"/>
      <c r="K67" s="11"/>
      <c r="L67" s="11"/>
      <c r="M67" s="11"/>
      <c r="N67" s="11"/>
      <c r="O67" s="11"/>
      <c r="P67" s="11"/>
      <c r="Q67" s="7" t="str">
        <f aca="false">IF(D67="","",IF(AND(M67="Approved",N67&lt;&gt;"",O67&lt;&gt;""),"Ready","Not yet"))</f>
        <v/>
      </c>
    </row>
    <row r="68" customFormat="false" ht="15" hidden="false" customHeight="true" outlineLevel="0" collapsed="false">
      <c r="A68" s="11"/>
      <c r="B68" s="11"/>
      <c r="C68" s="11"/>
      <c r="D68" s="11"/>
      <c r="E68" s="11"/>
      <c r="F68" s="11"/>
      <c r="G68" s="11"/>
      <c r="H68" s="11"/>
      <c r="I68" s="11"/>
      <c r="J68" s="11"/>
      <c r="K68" s="11"/>
      <c r="L68" s="11"/>
      <c r="M68" s="11"/>
      <c r="N68" s="11"/>
      <c r="O68" s="11"/>
      <c r="P68" s="11"/>
      <c r="Q68" s="7" t="str">
        <f aca="false">IF(D68="","",IF(AND(M68="Approved",N68&lt;&gt;"",O68&lt;&gt;""),"Ready","Not yet"))</f>
        <v/>
      </c>
    </row>
    <row r="69" customFormat="false" ht="15" hidden="false" customHeight="true" outlineLevel="0" collapsed="false">
      <c r="A69" s="11"/>
      <c r="B69" s="11"/>
      <c r="C69" s="11"/>
      <c r="D69" s="11"/>
      <c r="E69" s="11"/>
      <c r="F69" s="11"/>
      <c r="G69" s="11"/>
      <c r="H69" s="11"/>
      <c r="I69" s="11"/>
      <c r="J69" s="11"/>
      <c r="K69" s="11"/>
      <c r="L69" s="11"/>
      <c r="M69" s="11"/>
      <c r="N69" s="11"/>
      <c r="O69" s="11"/>
      <c r="P69" s="11"/>
      <c r="Q69" s="7" t="str">
        <f aca="false">IF(D69="","",IF(AND(M69="Approved",N69&lt;&gt;"",O69&lt;&gt;""),"Ready","Not yet"))</f>
        <v/>
      </c>
    </row>
    <row r="70" customFormat="false" ht="15" hidden="false" customHeight="true" outlineLevel="0" collapsed="false">
      <c r="A70" s="11"/>
      <c r="B70" s="11"/>
      <c r="C70" s="11"/>
      <c r="D70" s="11"/>
      <c r="E70" s="11"/>
      <c r="F70" s="11"/>
      <c r="G70" s="11"/>
      <c r="H70" s="11"/>
      <c r="I70" s="11"/>
      <c r="J70" s="11"/>
      <c r="K70" s="11"/>
      <c r="L70" s="11"/>
      <c r="M70" s="11"/>
      <c r="N70" s="11"/>
      <c r="O70" s="11"/>
      <c r="P70" s="11"/>
      <c r="Q70" s="7" t="str">
        <f aca="false">IF(D70="","",IF(AND(M70="Approved",N70&lt;&gt;"",O70&lt;&gt;""),"Ready","Not yet"))</f>
        <v/>
      </c>
    </row>
    <row r="71" customFormat="false" ht="15" hidden="false" customHeight="true" outlineLevel="0" collapsed="false">
      <c r="A71" s="11"/>
      <c r="B71" s="11"/>
      <c r="C71" s="11"/>
      <c r="D71" s="11"/>
      <c r="E71" s="11"/>
      <c r="F71" s="11"/>
      <c r="G71" s="11"/>
      <c r="H71" s="11"/>
      <c r="I71" s="11"/>
      <c r="J71" s="11"/>
      <c r="K71" s="11"/>
      <c r="L71" s="11"/>
      <c r="M71" s="11"/>
      <c r="N71" s="11"/>
      <c r="O71" s="11"/>
      <c r="P71" s="11"/>
      <c r="Q71" s="7" t="str">
        <f aca="false">IF(D71="","",IF(AND(M71="Approved",N71&lt;&gt;"",O71&lt;&gt;""),"Ready","Not yet"))</f>
        <v/>
      </c>
    </row>
    <row r="72" customFormat="false" ht="15" hidden="false" customHeight="true" outlineLevel="0" collapsed="false">
      <c r="A72" s="11"/>
      <c r="B72" s="11"/>
      <c r="C72" s="11"/>
      <c r="D72" s="11"/>
      <c r="E72" s="11"/>
      <c r="F72" s="11"/>
      <c r="G72" s="11"/>
      <c r="H72" s="11"/>
      <c r="I72" s="11"/>
      <c r="J72" s="11"/>
      <c r="K72" s="11"/>
      <c r="L72" s="11"/>
      <c r="M72" s="11"/>
      <c r="N72" s="11"/>
      <c r="O72" s="11"/>
      <c r="P72" s="11"/>
      <c r="Q72" s="7" t="str">
        <f aca="false">IF(D72="","",IF(AND(M72="Approved",N72&lt;&gt;"",O72&lt;&gt;""),"Ready","Not yet"))</f>
        <v/>
      </c>
    </row>
    <row r="73" customFormat="false" ht="15" hidden="false" customHeight="true" outlineLevel="0" collapsed="false">
      <c r="A73" s="11"/>
      <c r="B73" s="11"/>
      <c r="C73" s="11"/>
      <c r="D73" s="11"/>
      <c r="E73" s="11"/>
      <c r="F73" s="11"/>
      <c r="G73" s="11"/>
      <c r="H73" s="11"/>
      <c r="I73" s="11"/>
      <c r="J73" s="11"/>
      <c r="K73" s="11"/>
      <c r="L73" s="11"/>
      <c r="M73" s="11"/>
      <c r="N73" s="11"/>
      <c r="O73" s="11"/>
      <c r="P73" s="11"/>
      <c r="Q73" s="7" t="str">
        <f aca="false">IF(D73="","",IF(AND(M73="Approved",N73&lt;&gt;"",O73&lt;&gt;""),"Ready","Not yet"))</f>
        <v/>
      </c>
    </row>
    <row r="74" customFormat="false" ht="15" hidden="false" customHeight="true" outlineLevel="0" collapsed="false">
      <c r="A74" s="11"/>
      <c r="B74" s="11"/>
      <c r="C74" s="11"/>
      <c r="D74" s="11"/>
      <c r="E74" s="11"/>
      <c r="F74" s="11"/>
      <c r="G74" s="11"/>
      <c r="H74" s="11"/>
      <c r="I74" s="11"/>
      <c r="J74" s="11"/>
      <c r="K74" s="11"/>
      <c r="L74" s="11"/>
      <c r="M74" s="11"/>
      <c r="N74" s="11"/>
      <c r="O74" s="11"/>
      <c r="P74" s="11"/>
      <c r="Q74" s="7" t="str">
        <f aca="false">IF(D74="","",IF(AND(M74="Approved",N74&lt;&gt;"",O74&lt;&gt;""),"Ready","Not yet"))</f>
        <v/>
      </c>
    </row>
    <row r="75" customFormat="false" ht="15" hidden="false" customHeight="true" outlineLevel="0" collapsed="false">
      <c r="A75" s="11"/>
      <c r="B75" s="11"/>
      <c r="C75" s="11"/>
      <c r="D75" s="11"/>
      <c r="E75" s="11"/>
      <c r="F75" s="11"/>
      <c r="G75" s="11"/>
      <c r="H75" s="11"/>
      <c r="I75" s="11"/>
      <c r="J75" s="11"/>
      <c r="K75" s="11"/>
      <c r="L75" s="11"/>
      <c r="M75" s="11"/>
      <c r="N75" s="11"/>
      <c r="O75" s="11"/>
      <c r="P75" s="11"/>
      <c r="Q75" s="7" t="str">
        <f aca="false">IF(D75="","",IF(AND(M75="Approved",N75&lt;&gt;"",O75&lt;&gt;""),"Ready","Not yet"))</f>
        <v/>
      </c>
    </row>
    <row r="76" customFormat="false" ht="15" hidden="false" customHeight="true" outlineLevel="0" collapsed="false">
      <c r="A76" s="11"/>
      <c r="B76" s="11"/>
      <c r="C76" s="11"/>
      <c r="D76" s="11"/>
      <c r="E76" s="11"/>
      <c r="F76" s="11"/>
      <c r="G76" s="11"/>
      <c r="H76" s="11"/>
      <c r="I76" s="11"/>
      <c r="J76" s="11"/>
      <c r="K76" s="11"/>
      <c r="L76" s="11"/>
      <c r="M76" s="11"/>
      <c r="N76" s="11"/>
      <c r="O76" s="11"/>
      <c r="P76" s="11"/>
      <c r="Q76" s="7" t="str">
        <f aca="false">IF(D76="","",IF(AND(M76="Approved",N76&lt;&gt;"",O76&lt;&gt;""),"Ready","Not yet"))</f>
        <v/>
      </c>
    </row>
    <row r="77" customFormat="false" ht="15" hidden="false" customHeight="true" outlineLevel="0" collapsed="false">
      <c r="A77" s="11"/>
      <c r="B77" s="11"/>
      <c r="C77" s="11"/>
      <c r="D77" s="11"/>
      <c r="E77" s="11"/>
      <c r="F77" s="11"/>
      <c r="G77" s="11"/>
      <c r="H77" s="11"/>
      <c r="I77" s="11"/>
      <c r="J77" s="11"/>
      <c r="K77" s="11"/>
      <c r="L77" s="11"/>
      <c r="M77" s="11"/>
      <c r="N77" s="11"/>
      <c r="O77" s="11"/>
      <c r="P77" s="11"/>
      <c r="Q77" s="7" t="str">
        <f aca="false">IF(D77="","",IF(AND(M77="Approved",N77&lt;&gt;"",O77&lt;&gt;""),"Ready","Not yet"))</f>
        <v/>
      </c>
    </row>
    <row r="78" customFormat="false" ht="15" hidden="false" customHeight="true" outlineLevel="0" collapsed="false">
      <c r="A78" s="11"/>
      <c r="B78" s="11"/>
      <c r="C78" s="11"/>
      <c r="D78" s="11"/>
      <c r="E78" s="11"/>
      <c r="F78" s="11"/>
      <c r="G78" s="11"/>
      <c r="H78" s="11"/>
      <c r="I78" s="11"/>
      <c r="J78" s="11"/>
      <c r="K78" s="11"/>
      <c r="L78" s="11"/>
      <c r="M78" s="11"/>
      <c r="N78" s="11"/>
      <c r="O78" s="11"/>
      <c r="P78" s="11"/>
      <c r="Q78" s="7" t="str">
        <f aca="false">IF(D78="","",IF(AND(M78="Approved",N78&lt;&gt;"",O78&lt;&gt;""),"Ready","Not yet"))</f>
        <v/>
      </c>
    </row>
    <row r="79" customFormat="false" ht="15" hidden="false" customHeight="true" outlineLevel="0" collapsed="false">
      <c r="A79" s="11"/>
      <c r="B79" s="11"/>
      <c r="C79" s="11"/>
      <c r="D79" s="11"/>
      <c r="E79" s="11"/>
      <c r="F79" s="11"/>
      <c r="G79" s="11"/>
      <c r="H79" s="11"/>
      <c r="I79" s="11"/>
      <c r="J79" s="11"/>
      <c r="K79" s="11"/>
      <c r="L79" s="11"/>
      <c r="M79" s="11"/>
      <c r="N79" s="11"/>
      <c r="O79" s="11"/>
      <c r="P79" s="11"/>
      <c r="Q79" s="7" t="str">
        <f aca="false">IF(D79="","",IF(AND(M79="Approved",N79&lt;&gt;"",O79&lt;&gt;""),"Ready","Not yet"))</f>
        <v/>
      </c>
    </row>
    <row r="80" customFormat="false" ht="15" hidden="false" customHeight="true" outlineLevel="0" collapsed="false">
      <c r="A80" s="11"/>
      <c r="B80" s="11"/>
      <c r="C80" s="11"/>
      <c r="D80" s="11"/>
      <c r="E80" s="11"/>
      <c r="F80" s="11"/>
      <c r="G80" s="11"/>
      <c r="H80" s="11"/>
      <c r="I80" s="11"/>
      <c r="J80" s="11"/>
      <c r="K80" s="11"/>
      <c r="L80" s="11"/>
      <c r="M80" s="11"/>
      <c r="N80" s="11"/>
      <c r="O80" s="11"/>
      <c r="P80" s="11"/>
      <c r="Q80" s="7" t="str">
        <f aca="false">IF(D80="","",IF(AND(M80="Approved",N80&lt;&gt;"",O80&lt;&gt;""),"Ready","Not yet"))</f>
        <v/>
      </c>
    </row>
    <row r="81" customFormat="false" ht="15" hidden="false" customHeight="true" outlineLevel="0" collapsed="false">
      <c r="A81" s="11"/>
      <c r="B81" s="11"/>
      <c r="C81" s="11"/>
      <c r="D81" s="11"/>
      <c r="E81" s="11"/>
      <c r="F81" s="11"/>
      <c r="G81" s="11"/>
      <c r="H81" s="11"/>
      <c r="I81" s="11"/>
      <c r="J81" s="11"/>
      <c r="K81" s="11"/>
      <c r="L81" s="11"/>
      <c r="M81" s="11"/>
      <c r="N81" s="11"/>
      <c r="O81" s="11"/>
      <c r="P81" s="11"/>
      <c r="Q81" s="7" t="str">
        <f aca="false">IF(D81="","",IF(AND(M81="Approved",N81&lt;&gt;"",O81&lt;&gt;""),"Ready","Not yet"))</f>
        <v/>
      </c>
    </row>
    <row r="82" customFormat="false" ht="15" hidden="false" customHeight="true" outlineLevel="0" collapsed="false">
      <c r="A82" s="11"/>
      <c r="B82" s="11"/>
      <c r="C82" s="11"/>
      <c r="D82" s="11"/>
      <c r="E82" s="11"/>
      <c r="F82" s="11"/>
      <c r="G82" s="11"/>
      <c r="H82" s="11"/>
      <c r="I82" s="11"/>
      <c r="J82" s="11"/>
      <c r="K82" s="11"/>
      <c r="L82" s="11"/>
      <c r="M82" s="11"/>
      <c r="N82" s="11"/>
      <c r="O82" s="11"/>
      <c r="P82" s="11"/>
      <c r="Q82" s="7" t="str">
        <f aca="false">IF(D82="","",IF(AND(M82="Approved",N82&lt;&gt;"",O82&lt;&gt;""),"Ready","Not yet"))</f>
        <v/>
      </c>
    </row>
    <row r="83" customFormat="false" ht="15" hidden="false" customHeight="true" outlineLevel="0" collapsed="false">
      <c r="A83" s="11"/>
      <c r="B83" s="11"/>
      <c r="C83" s="11"/>
      <c r="D83" s="11"/>
      <c r="E83" s="11"/>
      <c r="F83" s="11"/>
      <c r="G83" s="11"/>
      <c r="H83" s="11"/>
      <c r="I83" s="11"/>
      <c r="J83" s="11"/>
      <c r="K83" s="11"/>
      <c r="L83" s="11"/>
      <c r="M83" s="11"/>
      <c r="N83" s="11"/>
      <c r="O83" s="11"/>
      <c r="P83" s="11"/>
      <c r="Q83" s="7" t="str">
        <f aca="false">IF(D83="","",IF(AND(M83="Approved",N83&lt;&gt;"",O83&lt;&gt;""),"Ready","Not yet"))</f>
        <v/>
      </c>
    </row>
    <row r="84" customFormat="false" ht="15" hidden="false" customHeight="true" outlineLevel="0" collapsed="false">
      <c r="A84" s="11"/>
      <c r="B84" s="11"/>
      <c r="C84" s="11"/>
      <c r="D84" s="11"/>
      <c r="E84" s="11"/>
      <c r="F84" s="11"/>
      <c r="G84" s="11"/>
      <c r="H84" s="11"/>
      <c r="I84" s="11"/>
      <c r="J84" s="11"/>
      <c r="K84" s="11"/>
      <c r="L84" s="11"/>
      <c r="M84" s="11"/>
      <c r="N84" s="11"/>
      <c r="O84" s="11"/>
      <c r="P84" s="11"/>
      <c r="Q84" s="7" t="str">
        <f aca="false">IF(D84="","",IF(AND(M84="Approved",N84&lt;&gt;"",O84&lt;&gt;""),"Ready","Not yet"))</f>
        <v/>
      </c>
    </row>
    <row r="85" customFormat="false" ht="15" hidden="false" customHeight="true" outlineLevel="0" collapsed="false">
      <c r="A85" s="11"/>
      <c r="B85" s="11"/>
      <c r="C85" s="11"/>
      <c r="D85" s="11"/>
      <c r="E85" s="11"/>
      <c r="F85" s="11"/>
      <c r="G85" s="11"/>
      <c r="H85" s="11"/>
      <c r="I85" s="11"/>
      <c r="J85" s="11"/>
      <c r="K85" s="11"/>
      <c r="L85" s="11"/>
      <c r="M85" s="11"/>
      <c r="N85" s="11"/>
      <c r="O85" s="11"/>
      <c r="P85" s="11"/>
      <c r="Q85" s="7" t="str">
        <f aca="false">IF(D85="","",IF(AND(M85="Approved",N85&lt;&gt;"",O85&lt;&gt;""),"Ready","Not yet"))</f>
        <v/>
      </c>
    </row>
    <row r="86" customFormat="false" ht="15" hidden="false" customHeight="true" outlineLevel="0" collapsed="false">
      <c r="A86" s="11"/>
      <c r="B86" s="11"/>
      <c r="C86" s="11"/>
      <c r="D86" s="11"/>
      <c r="E86" s="11"/>
      <c r="F86" s="11"/>
      <c r="G86" s="11"/>
      <c r="H86" s="11"/>
      <c r="I86" s="11"/>
      <c r="J86" s="11"/>
      <c r="K86" s="11"/>
      <c r="L86" s="11"/>
      <c r="M86" s="11"/>
      <c r="N86" s="11"/>
      <c r="O86" s="11"/>
      <c r="P86" s="11"/>
      <c r="Q86" s="7" t="str">
        <f aca="false">IF(D86="","",IF(AND(M86="Approved",N86&lt;&gt;"",O86&lt;&gt;""),"Ready","Not yet"))</f>
        <v/>
      </c>
    </row>
    <row r="87" customFormat="false" ht="15" hidden="false" customHeight="true" outlineLevel="0" collapsed="false">
      <c r="A87" s="11"/>
      <c r="B87" s="11"/>
      <c r="C87" s="11"/>
      <c r="D87" s="11"/>
      <c r="E87" s="11"/>
      <c r="F87" s="11"/>
      <c r="G87" s="11"/>
      <c r="H87" s="11"/>
      <c r="I87" s="11"/>
      <c r="J87" s="11"/>
      <c r="K87" s="11"/>
      <c r="L87" s="11"/>
      <c r="M87" s="11"/>
      <c r="N87" s="11"/>
      <c r="O87" s="11"/>
      <c r="P87" s="11"/>
      <c r="Q87" s="7" t="str">
        <f aca="false">IF(D87="","",IF(AND(M87="Approved",N87&lt;&gt;"",O87&lt;&gt;""),"Ready","Not yet"))</f>
        <v/>
      </c>
    </row>
    <row r="88" customFormat="false" ht="15" hidden="false" customHeight="true" outlineLevel="0" collapsed="false">
      <c r="A88" s="11"/>
      <c r="B88" s="11"/>
      <c r="C88" s="11"/>
      <c r="D88" s="11"/>
      <c r="E88" s="11"/>
      <c r="F88" s="11"/>
      <c r="G88" s="11"/>
      <c r="H88" s="11"/>
      <c r="I88" s="11"/>
      <c r="J88" s="11"/>
      <c r="K88" s="11"/>
      <c r="L88" s="11"/>
      <c r="M88" s="11"/>
      <c r="N88" s="11"/>
      <c r="O88" s="11"/>
      <c r="P88" s="11"/>
      <c r="Q88" s="7" t="str">
        <f aca="false">IF(D88="","",IF(AND(M88="Approved",N88&lt;&gt;"",O88&lt;&gt;""),"Ready","Not yet"))</f>
        <v/>
      </c>
    </row>
    <row r="89" customFormat="false" ht="15" hidden="false" customHeight="true" outlineLevel="0" collapsed="false">
      <c r="A89" s="11"/>
      <c r="B89" s="11"/>
      <c r="C89" s="11"/>
      <c r="D89" s="11"/>
      <c r="E89" s="11"/>
      <c r="F89" s="11"/>
      <c r="G89" s="11"/>
      <c r="H89" s="11"/>
      <c r="I89" s="11"/>
      <c r="J89" s="11"/>
      <c r="K89" s="11"/>
      <c r="L89" s="11"/>
      <c r="M89" s="11"/>
      <c r="N89" s="11"/>
      <c r="O89" s="11"/>
      <c r="P89" s="11"/>
      <c r="Q89" s="7" t="str">
        <f aca="false">IF(D89="","",IF(AND(M89="Approved",N89&lt;&gt;"",O89&lt;&gt;""),"Ready","Not yet"))</f>
        <v/>
      </c>
    </row>
    <row r="90" customFormat="false" ht="15" hidden="false" customHeight="true" outlineLevel="0" collapsed="false">
      <c r="A90" s="11"/>
      <c r="B90" s="11"/>
      <c r="C90" s="11"/>
      <c r="D90" s="11"/>
      <c r="E90" s="11"/>
      <c r="F90" s="11"/>
      <c r="G90" s="11"/>
      <c r="H90" s="11"/>
      <c r="I90" s="11"/>
      <c r="J90" s="11"/>
      <c r="K90" s="11"/>
      <c r="L90" s="11"/>
      <c r="M90" s="11"/>
      <c r="N90" s="11"/>
      <c r="O90" s="11"/>
      <c r="P90" s="11"/>
      <c r="Q90" s="7" t="str">
        <f aca="false">IF(D90="","",IF(AND(M90="Approved",N90&lt;&gt;"",O90&lt;&gt;""),"Ready","Not yet"))</f>
        <v/>
      </c>
    </row>
    <row r="91" customFormat="false" ht="15" hidden="false" customHeight="true" outlineLevel="0" collapsed="false">
      <c r="A91" s="11"/>
      <c r="B91" s="11"/>
      <c r="C91" s="11"/>
      <c r="D91" s="11"/>
      <c r="E91" s="11"/>
      <c r="F91" s="11"/>
      <c r="G91" s="11"/>
      <c r="H91" s="11"/>
      <c r="I91" s="11"/>
      <c r="J91" s="11"/>
      <c r="K91" s="11"/>
      <c r="L91" s="11"/>
      <c r="M91" s="11"/>
      <c r="N91" s="11"/>
      <c r="O91" s="11"/>
      <c r="P91" s="11"/>
      <c r="Q91" s="7" t="str">
        <f aca="false">IF(D91="","",IF(AND(M91="Approved",N91&lt;&gt;"",O91&lt;&gt;""),"Ready","Not yet"))</f>
        <v/>
      </c>
    </row>
    <row r="92" customFormat="false" ht="15" hidden="false" customHeight="true" outlineLevel="0" collapsed="false">
      <c r="A92" s="11"/>
      <c r="B92" s="11"/>
      <c r="C92" s="11"/>
      <c r="D92" s="11"/>
      <c r="E92" s="11"/>
      <c r="F92" s="11"/>
      <c r="G92" s="11"/>
      <c r="H92" s="11"/>
      <c r="I92" s="11"/>
      <c r="J92" s="11"/>
      <c r="K92" s="11"/>
      <c r="L92" s="11"/>
      <c r="M92" s="11"/>
      <c r="N92" s="11"/>
      <c r="O92" s="11"/>
      <c r="P92" s="11"/>
      <c r="Q92" s="7" t="str">
        <f aca="false">IF(D92="","",IF(AND(M92="Approved",N92&lt;&gt;"",O92&lt;&gt;""),"Ready","Not yet"))</f>
        <v/>
      </c>
    </row>
    <row r="93" customFormat="false" ht="15" hidden="false" customHeight="true" outlineLevel="0" collapsed="false">
      <c r="A93" s="11"/>
      <c r="B93" s="11"/>
      <c r="C93" s="11"/>
      <c r="D93" s="11"/>
      <c r="E93" s="11"/>
      <c r="F93" s="11"/>
      <c r="G93" s="11"/>
      <c r="H93" s="11"/>
      <c r="I93" s="11"/>
      <c r="J93" s="11"/>
      <c r="K93" s="11"/>
      <c r="L93" s="11"/>
      <c r="M93" s="11"/>
      <c r="N93" s="11"/>
      <c r="O93" s="11"/>
      <c r="P93" s="11"/>
      <c r="Q93" s="7" t="str">
        <f aca="false">IF(D93="","",IF(AND(M93="Approved",N93&lt;&gt;"",O93&lt;&gt;""),"Ready","Not yet"))</f>
        <v/>
      </c>
    </row>
    <row r="94" customFormat="false" ht="15" hidden="false" customHeight="true" outlineLevel="0" collapsed="false">
      <c r="A94" s="11"/>
      <c r="B94" s="11"/>
      <c r="C94" s="11"/>
      <c r="D94" s="11"/>
      <c r="E94" s="11"/>
      <c r="F94" s="11"/>
      <c r="G94" s="11"/>
      <c r="H94" s="11"/>
      <c r="I94" s="11"/>
      <c r="J94" s="11"/>
      <c r="K94" s="11"/>
      <c r="L94" s="11"/>
      <c r="M94" s="11"/>
      <c r="N94" s="11"/>
      <c r="O94" s="11"/>
      <c r="P94" s="11"/>
      <c r="Q94" s="7" t="str">
        <f aca="false">IF(D94="","",IF(AND(M94="Approved",N94&lt;&gt;"",O94&lt;&gt;""),"Ready","Not yet"))</f>
        <v/>
      </c>
    </row>
    <row r="95" customFormat="false" ht="15" hidden="false" customHeight="true" outlineLevel="0" collapsed="false">
      <c r="A95" s="11"/>
      <c r="B95" s="11"/>
      <c r="C95" s="11"/>
      <c r="D95" s="11"/>
      <c r="E95" s="11"/>
      <c r="F95" s="11"/>
      <c r="G95" s="11"/>
      <c r="H95" s="11"/>
      <c r="I95" s="11"/>
      <c r="J95" s="11"/>
      <c r="K95" s="11"/>
      <c r="L95" s="11"/>
      <c r="M95" s="11"/>
      <c r="N95" s="11"/>
      <c r="O95" s="11"/>
      <c r="P95" s="11"/>
      <c r="Q95" s="7" t="str">
        <f aca="false">IF(D95="","",IF(AND(M95="Approved",N95&lt;&gt;"",O95&lt;&gt;""),"Ready","Not yet"))</f>
        <v/>
      </c>
    </row>
    <row r="96" customFormat="false" ht="15" hidden="false" customHeight="true" outlineLevel="0" collapsed="false">
      <c r="A96" s="11"/>
      <c r="B96" s="11"/>
      <c r="C96" s="11"/>
      <c r="D96" s="11"/>
      <c r="E96" s="11"/>
      <c r="F96" s="11"/>
      <c r="G96" s="11"/>
      <c r="H96" s="11"/>
      <c r="I96" s="11"/>
      <c r="J96" s="11"/>
      <c r="K96" s="11"/>
      <c r="L96" s="11"/>
      <c r="M96" s="11"/>
      <c r="N96" s="11"/>
      <c r="O96" s="11"/>
      <c r="P96" s="11"/>
      <c r="Q96" s="7" t="str">
        <f aca="false">IF(D96="","",IF(AND(M96="Approved",N96&lt;&gt;"",O96&lt;&gt;""),"Ready","Not yet"))</f>
        <v/>
      </c>
    </row>
    <row r="97" customFormat="false" ht="15" hidden="false" customHeight="true" outlineLevel="0" collapsed="false">
      <c r="A97" s="11"/>
      <c r="B97" s="11"/>
      <c r="C97" s="11"/>
      <c r="D97" s="11"/>
      <c r="E97" s="11"/>
      <c r="F97" s="11"/>
      <c r="G97" s="11"/>
      <c r="H97" s="11"/>
      <c r="I97" s="11"/>
      <c r="J97" s="11"/>
      <c r="K97" s="11"/>
      <c r="L97" s="11"/>
      <c r="M97" s="11"/>
      <c r="N97" s="11"/>
      <c r="O97" s="11"/>
      <c r="P97" s="11"/>
      <c r="Q97" s="7" t="str">
        <f aca="false">IF(D97="","",IF(AND(M97="Approved",N97&lt;&gt;"",O97&lt;&gt;""),"Ready","Not yet"))</f>
        <v/>
      </c>
    </row>
    <row r="98" customFormat="false" ht="15" hidden="false" customHeight="true" outlineLevel="0" collapsed="false">
      <c r="A98" s="11"/>
      <c r="B98" s="11"/>
      <c r="C98" s="11"/>
      <c r="D98" s="11"/>
      <c r="E98" s="11"/>
      <c r="F98" s="11"/>
      <c r="G98" s="11"/>
      <c r="H98" s="11"/>
      <c r="I98" s="11"/>
      <c r="J98" s="11"/>
      <c r="K98" s="11"/>
      <c r="L98" s="11"/>
      <c r="M98" s="11"/>
      <c r="N98" s="11"/>
      <c r="O98" s="11"/>
      <c r="P98" s="11"/>
      <c r="Q98" s="7" t="str">
        <f aca="false">IF(D98="","",IF(AND(M98="Approved",N98&lt;&gt;"",O98&lt;&gt;""),"Ready","Not yet"))</f>
        <v/>
      </c>
    </row>
    <row r="99" customFormat="false" ht="15" hidden="false" customHeight="true" outlineLevel="0" collapsed="false">
      <c r="A99" s="11"/>
      <c r="B99" s="11"/>
      <c r="C99" s="11"/>
      <c r="D99" s="11"/>
      <c r="E99" s="11"/>
      <c r="F99" s="11"/>
      <c r="G99" s="11"/>
      <c r="H99" s="11"/>
      <c r="I99" s="11"/>
      <c r="J99" s="11"/>
      <c r="K99" s="11"/>
      <c r="L99" s="11"/>
      <c r="M99" s="11"/>
      <c r="N99" s="11"/>
      <c r="O99" s="11"/>
      <c r="P99" s="11"/>
      <c r="Q99" s="7" t="str">
        <f aca="false">IF(D99="","",IF(AND(M99="Approved",N99&lt;&gt;"",O99&lt;&gt;""),"Ready","Not yet"))</f>
        <v/>
      </c>
    </row>
    <row r="100" customFormat="false" ht="15" hidden="false" customHeight="true" outlineLevel="0" collapsed="false">
      <c r="A100" s="11"/>
      <c r="B100" s="11"/>
      <c r="C100" s="11"/>
      <c r="D100" s="11"/>
      <c r="E100" s="11"/>
      <c r="F100" s="11"/>
      <c r="G100" s="11"/>
      <c r="H100" s="11"/>
      <c r="I100" s="11"/>
      <c r="J100" s="11"/>
      <c r="K100" s="11"/>
      <c r="L100" s="11"/>
      <c r="M100" s="11"/>
      <c r="N100" s="11"/>
      <c r="O100" s="11"/>
      <c r="P100" s="11"/>
      <c r="Q100" s="7" t="str">
        <f aca="false">IF(D100="","",IF(AND(M100="Approved",N100&lt;&gt;"",O100&lt;&gt;""),"Ready","Not yet"))</f>
        <v/>
      </c>
    </row>
    <row r="101" customFormat="false" ht="15" hidden="false" customHeight="true" outlineLevel="0" collapsed="false">
      <c r="A101" s="11"/>
      <c r="B101" s="11"/>
      <c r="C101" s="11"/>
      <c r="D101" s="11"/>
      <c r="E101" s="11"/>
      <c r="F101" s="11"/>
      <c r="G101" s="11"/>
      <c r="H101" s="11"/>
      <c r="I101" s="11"/>
      <c r="J101" s="11"/>
      <c r="K101" s="11"/>
      <c r="L101" s="11"/>
      <c r="M101" s="11"/>
      <c r="N101" s="11"/>
      <c r="O101" s="11"/>
      <c r="P101" s="11"/>
      <c r="Q101" s="7" t="str">
        <f aca="false">IF(D101="","",IF(AND(M101="Approved",N101&lt;&gt;"",O101&lt;&gt;""),"Ready","Not yet"))</f>
        <v/>
      </c>
    </row>
    <row r="102" customFormat="false" ht="15" hidden="false" customHeight="true" outlineLevel="0" collapsed="false">
      <c r="A102" s="11"/>
      <c r="B102" s="11"/>
      <c r="C102" s="11"/>
      <c r="D102" s="11"/>
      <c r="E102" s="11"/>
      <c r="F102" s="11"/>
      <c r="G102" s="11"/>
      <c r="H102" s="11"/>
      <c r="I102" s="11"/>
      <c r="J102" s="11"/>
      <c r="K102" s="11"/>
      <c r="L102" s="11"/>
      <c r="M102" s="11"/>
      <c r="N102" s="11"/>
      <c r="O102" s="11"/>
      <c r="P102" s="11"/>
      <c r="Q102" s="7" t="str">
        <f aca="false">IF(D102="","",IF(AND(M102="Approved",N102&lt;&gt;"",O102&lt;&gt;""),"Ready","Not yet"))</f>
        <v/>
      </c>
    </row>
    <row r="103" customFormat="false" ht="15" hidden="false" customHeight="true" outlineLevel="0" collapsed="false">
      <c r="A103" s="11"/>
      <c r="B103" s="11"/>
      <c r="C103" s="11"/>
      <c r="D103" s="11"/>
      <c r="E103" s="11"/>
      <c r="F103" s="11"/>
      <c r="G103" s="11"/>
      <c r="H103" s="11"/>
      <c r="I103" s="11"/>
      <c r="J103" s="11"/>
      <c r="K103" s="11"/>
      <c r="L103" s="11"/>
      <c r="M103" s="11"/>
      <c r="N103" s="11"/>
      <c r="O103" s="11"/>
      <c r="P103" s="11"/>
      <c r="Q103" s="7" t="str">
        <f aca="false">IF(D103="","",IF(AND(M103="Approved",N103&lt;&gt;"",O103&lt;&gt;""),"Ready","Not yet"))</f>
        <v/>
      </c>
    </row>
    <row r="104" customFormat="false" ht="15" hidden="false" customHeight="true" outlineLevel="0" collapsed="false">
      <c r="A104" s="11"/>
      <c r="B104" s="11"/>
      <c r="C104" s="11"/>
      <c r="D104" s="11"/>
      <c r="E104" s="11"/>
      <c r="F104" s="11"/>
      <c r="G104" s="11"/>
      <c r="H104" s="11"/>
      <c r="I104" s="11"/>
      <c r="J104" s="11"/>
      <c r="K104" s="11"/>
      <c r="L104" s="11"/>
      <c r="M104" s="11"/>
      <c r="N104" s="11"/>
      <c r="O104" s="11"/>
      <c r="P104" s="11"/>
      <c r="Q104" s="7" t="str">
        <f aca="false">IF(D104="","",IF(AND(M104="Approved",N104&lt;&gt;"",O104&lt;&gt;""),"Ready","Not yet"))</f>
        <v/>
      </c>
    </row>
    <row r="105" customFormat="false" ht="15" hidden="false" customHeight="true" outlineLevel="0" collapsed="false">
      <c r="A105" s="11"/>
      <c r="B105" s="11"/>
      <c r="C105" s="11"/>
      <c r="D105" s="11"/>
      <c r="E105" s="11"/>
      <c r="F105" s="11"/>
      <c r="G105" s="11"/>
      <c r="H105" s="11"/>
      <c r="I105" s="11"/>
      <c r="J105" s="11"/>
      <c r="K105" s="11"/>
      <c r="L105" s="11"/>
      <c r="M105" s="11"/>
      <c r="N105" s="11"/>
      <c r="O105" s="11"/>
      <c r="P105" s="11"/>
      <c r="Q105" s="7" t="str">
        <f aca="false">IF(D105="","",IF(AND(M105="Approved",N105&lt;&gt;"",O105&lt;&gt;""),"Ready","Not yet"))</f>
        <v/>
      </c>
    </row>
    <row r="106" customFormat="false" ht="15" hidden="false" customHeight="true" outlineLevel="0" collapsed="false">
      <c r="A106" s="11"/>
      <c r="B106" s="11"/>
      <c r="C106" s="11"/>
      <c r="D106" s="11"/>
      <c r="E106" s="11"/>
      <c r="F106" s="11"/>
      <c r="G106" s="11"/>
      <c r="H106" s="11"/>
      <c r="I106" s="11"/>
      <c r="J106" s="11"/>
      <c r="K106" s="11"/>
      <c r="L106" s="11"/>
      <c r="M106" s="11"/>
      <c r="N106" s="11"/>
      <c r="O106" s="11"/>
      <c r="P106" s="11"/>
      <c r="Q106" s="7" t="str">
        <f aca="false">IF(D106="","",IF(AND(M106="Approved",N106&lt;&gt;"",O106&lt;&gt;""),"Ready","Not yet"))</f>
        <v/>
      </c>
    </row>
    <row r="107" customFormat="false" ht="15" hidden="false" customHeight="true" outlineLevel="0" collapsed="false">
      <c r="A107" s="11"/>
      <c r="B107" s="11"/>
      <c r="C107" s="11"/>
      <c r="D107" s="11"/>
      <c r="E107" s="11"/>
      <c r="F107" s="11"/>
      <c r="G107" s="11"/>
      <c r="H107" s="11"/>
      <c r="I107" s="11"/>
      <c r="J107" s="11"/>
      <c r="K107" s="11"/>
      <c r="L107" s="11"/>
      <c r="M107" s="11"/>
      <c r="N107" s="11"/>
      <c r="O107" s="11"/>
      <c r="P107" s="11"/>
      <c r="Q107" s="7" t="str">
        <f aca="false">IF(D107="","",IF(AND(M107="Approved",N107&lt;&gt;"",O107&lt;&gt;""),"Ready","Not yet"))</f>
        <v/>
      </c>
    </row>
    <row r="108" customFormat="false" ht="15" hidden="false" customHeight="true" outlineLevel="0" collapsed="false">
      <c r="A108" s="11"/>
      <c r="B108" s="11"/>
      <c r="C108" s="11"/>
      <c r="D108" s="11"/>
      <c r="E108" s="11"/>
      <c r="F108" s="11"/>
      <c r="G108" s="11"/>
      <c r="H108" s="11"/>
      <c r="I108" s="11"/>
      <c r="J108" s="11"/>
      <c r="K108" s="11"/>
      <c r="L108" s="11"/>
      <c r="M108" s="11"/>
      <c r="N108" s="11"/>
      <c r="O108" s="11"/>
      <c r="P108" s="11"/>
      <c r="Q108" s="7" t="str">
        <f aca="false">IF(D108="","",IF(AND(M108="Approved",N108&lt;&gt;"",O108&lt;&gt;""),"Ready","Not yet"))</f>
        <v/>
      </c>
    </row>
    <row r="109" customFormat="false" ht="15" hidden="false" customHeight="true" outlineLevel="0" collapsed="false">
      <c r="A109" s="11"/>
      <c r="B109" s="11"/>
      <c r="C109" s="11"/>
      <c r="D109" s="11"/>
      <c r="E109" s="11"/>
      <c r="F109" s="11"/>
      <c r="G109" s="11"/>
      <c r="H109" s="11"/>
      <c r="I109" s="11"/>
      <c r="J109" s="11"/>
      <c r="K109" s="11"/>
      <c r="L109" s="11"/>
      <c r="M109" s="11"/>
      <c r="N109" s="11"/>
      <c r="O109" s="11"/>
      <c r="P109" s="11"/>
      <c r="Q109" s="7" t="str">
        <f aca="false">IF(D109="","",IF(AND(M109="Approved",N109&lt;&gt;"",O109&lt;&gt;""),"Ready","Not yet"))</f>
        <v/>
      </c>
    </row>
    <row r="110" customFormat="false" ht="15" hidden="false" customHeight="true" outlineLevel="0" collapsed="false">
      <c r="A110" s="11"/>
      <c r="B110" s="11"/>
      <c r="C110" s="11"/>
      <c r="D110" s="11"/>
      <c r="E110" s="11"/>
      <c r="F110" s="11"/>
      <c r="G110" s="11"/>
      <c r="H110" s="11"/>
      <c r="I110" s="11"/>
      <c r="J110" s="11"/>
      <c r="K110" s="11"/>
      <c r="L110" s="11"/>
      <c r="M110" s="11"/>
      <c r="N110" s="11"/>
      <c r="O110" s="11"/>
      <c r="P110" s="11"/>
      <c r="Q110" s="7" t="str">
        <f aca="false">IF(D110="","",IF(AND(M110="Approved",N110&lt;&gt;"",O110&lt;&gt;""),"Ready","Not yet"))</f>
        <v/>
      </c>
    </row>
    <row r="111" customFormat="false" ht="15" hidden="false" customHeight="true" outlineLevel="0" collapsed="false">
      <c r="A111" s="11"/>
      <c r="B111" s="11"/>
      <c r="C111" s="11"/>
      <c r="D111" s="11"/>
      <c r="E111" s="11"/>
      <c r="F111" s="11"/>
      <c r="G111" s="11"/>
      <c r="H111" s="11"/>
      <c r="I111" s="11"/>
      <c r="J111" s="11"/>
      <c r="K111" s="11"/>
      <c r="L111" s="11"/>
      <c r="M111" s="11"/>
      <c r="N111" s="11"/>
      <c r="O111" s="11"/>
      <c r="P111" s="11"/>
      <c r="Q111" s="7" t="str">
        <f aca="false">IF(D111="","",IF(AND(M111="Approved",N111&lt;&gt;"",O111&lt;&gt;""),"Ready","Not yet"))</f>
        <v/>
      </c>
    </row>
    <row r="112" customFormat="false" ht="15" hidden="false" customHeight="true" outlineLevel="0" collapsed="false">
      <c r="A112" s="11"/>
      <c r="B112" s="11"/>
      <c r="C112" s="11"/>
      <c r="D112" s="11"/>
      <c r="E112" s="11"/>
      <c r="F112" s="11"/>
      <c r="G112" s="11"/>
      <c r="H112" s="11"/>
      <c r="I112" s="11"/>
      <c r="J112" s="11"/>
      <c r="K112" s="11"/>
      <c r="L112" s="11"/>
      <c r="M112" s="11"/>
      <c r="N112" s="11"/>
      <c r="O112" s="11"/>
      <c r="P112" s="11"/>
      <c r="Q112" s="7" t="str">
        <f aca="false">IF(D112="","",IF(AND(M112="Approved",N112&lt;&gt;"",O112&lt;&gt;""),"Ready","Not yet"))</f>
        <v/>
      </c>
    </row>
    <row r="113" customFormat="false" ht="15" hidden="false" customHeight="true" outlineLevel="0" collapsed="false">
      <c r="A113" s="11"/>
      <c r="B113" s="11"/>
      <c r="C113" s="11"/>
      <c r="D113" s="11"/>
      <c r="E113" s="11"/>
      <c r="F113" s="11"/>
      <c r="G113" s="11"/>
      <c r="H113" s="11"/>
      <c r="I113" s="11"/>
      <c r="J113" s="11"/>
      <c r="K113" s="11"/>
      <c r="L113" s="11"/>
      <c r="M113" s="11"/>
      <c r="N113" s="11"/>
      <c r="O113" s="11"/>
      <c r="P113" s="11"/>
      <c r="Q113" s="7" t="str">
        <f aca="false">IF(D113="","",IF(AND(M113="Approved",N113&lt;&gt;"",O113&lt;&gt;""),"Ready","Not yet"))</f>
        <v/>
      </c>
    </row>
    <row r="114" customFormat="false" ht="15" hidden="false" customHeight="true" outlineLevel="0" collapsed="false">
      <c r="A114" s="11"/>
      <c r="B114" s="11"/>
      <c r="C114" s="11"/>
      <c r="D114" s="11"/>
      <c r="E114" s="11"/>
      <c r="F114" s="11"/>
      <c r="G114" s="11"/>
      <c r="H114" s="11"/>
      <c r="I114" s="11"/>
      <c r="J114" s="11"/>
      <c r="K114" s="11"/>
      <c r="L114" s="11"/>
      <c r="M114" s="11"/>
      <c r="N114" s="11"/>
      <c r="O114" s="11"/>
      <c r="P114" s="11"/>
      <c r="Q114" s="7" t="str">
        <f aca="false">IF(D114="","",IF(AND(M114="Approved",N114&lt;&gt;"",O114&lt;&gt;""),"Ready","Not yet"))</f>
        <v/>
      </c>
    </row>
    <row r="115" customFormat="false" ht="15" hidden="false" customHeight="true" outlineLevel="0" collapsed="false">
      <c r="A115" s="11"/>
      <c r="B115" s="11"/>
      <c r="C115" s="11"/>
      <c r="D115" s="11"/>
      <c r="E115" s="11"/>
      <c r="F115" s="11"/>
      <c r="G115" s="11"/>
      <c r="H115" s="11"/>
      <c r="I115" s="11"/>
      <c r="J115" s="11"/>
      <c r="K115" s="11"/>
      <c r="L115" s="11"/>
      <c r="M115" s="11"/>
      <c r="N115" s="11"/>
      <c r="O115" s="11"/>
      <c r="P115" s="11"/>
      <c r="Q115" s="7" t="str">
        <f aca="false">IF(D115="","",IF(AND(M115="Approved",N115&lt;&gt;"",O115&lt;&gt;""),"Ready","Not yet"))</f>
        <v/>
      </c>
    </row>
    <row r="116" customFormat="false" ht="15" hidden="false" customHeight="true" outlineLevel="0" collapsed="false">
      <c r="A116" s="11"/>
      <c r="B116" s="11"/>
      <c r="C116" s="11"/>
      <c r="D116" s="11"/>
      <c r="E116" s="11"/>
      <c r="F116" s="11"/>
      <c r="G116" s="11"/>
      <c r="H116" s="11"/>
      <c r="I116" s="11"/>
      <c r="J116" s="11"/>
      <c r="K116" s="11"/>
      <c r="L116" s="11"/>
      <c r="M116" s="11"/>
      <c r="N116" s="11"/>
      <c r="O116" s="11"/>
      <c r="P116" s="11"/>
      <c r="Q116" s="7" t="str">
        <f aca="false">IF(D116="","",IF(AND(M116="Approved",N116&lt;&gt;"",O116&lt;&gt;""),"Ready","Not yet"))</f>
        <v/>
      </c>
    </row>
    <row r="117" customFormat="false" ht="15" hidden="false" customHeight="true" outlineLevel="0" collapsed="false">
      <c r="A117" s="11"/>
      <c r="B117" s="11"/>
      <c r="C117" s="11"/>
      <c r="D117" s="11"/>
      <c r="E117" s="11"/>
      <c r="F117" s="11"/>
      <c r="G117" s="11"/>
      <c r="H117" s="11"/>
      <c r="I117" s="11"/>
      <c r="J117" s="11"/>
      <c r="K117" s="11"/>
      <c r="L117" s="11"/>
      <c r="M117" s="11"/>
      <c r="N117" s="11"/>
      <c r="O117" s="11"/>
      <c r="P117" s="11"/>
      <c r="Q117" s="7" t="str">
        <f aca="false">IF(D117="","",IF(AND(M117="Approved",N117&lt;&gt;"",O117&lt;&gt;""),"Ready","Not yet"))</f>
        <v/>
      </c>
    </row>
    <row r="118" customFormat="false" ht="15" hidden="false" customHeight="true" outlineLevel="0" collapsed="false">
      <c r="A118" s="11"/>
      <c r="B118" s="11"/>
      <c r="C118" s="11"/>
      <c r="D118" s="11"/>
      <c r="E118" s="11"/>
      <c r="F118" s="11"/>
      <c r="G118" s="11"/>
      <c r="H118" s="11"/>
      <c r="I118" s="11"/>
      <c r="J118" s="11"/>
      <c r="K118" s="11"/>
      <c r="L118" s="11"/>
      <c r="M118" s="11"/>
      <c r="N118" s="11"/>
      <c r="O118" s="11"/>
      <c r="P118" s="11"/>
      <c r="Q118" s="7" t="str">
        <f aca="false">IF(D118="","",IF(AND(M118="Approved",N118&lt;&gt;"",O118&lt;&gt;""),"Ready","Not yet"))</f>
        <v/>
      </c>
    </row>
    <row r="119" customFormat="false" ht="15" hidden="false" customHeight="true" outlineLevel="0" collapsed="false">
      <c r="A119" s="11"/>
      <c r="B119" s="11"/>
      <c r="C119" s="11"/>
      <c r="D119" s="11"/>
      <c r="E119" s="11"/>
      <c r="F119" s="11"/>
      <c r="G119" s="11"/>
      <c r="H119" s="11"/>
      <c r="I119" s="11"/>
      <c r="J119" s="11"/>
      <c r="K119" s="11"/>
      <c r="L119" s="11"/>
      <c r="M119" s="11"/>
      <c r="N119" s="11"/>
      <c r="O119" s="11"/>
      <c r="P119" s="11"/>
      <c r="Q119" s="7" t="str">
        <f aca="false">IF(D119="","",IF(AND(M119="Approved",N119&lt;&gt;"",O119&lt;&gt;""),"Ready","Not yet"))</f>
        <v/>
      </c>
    </row>
    <row r="120" customFormat="false" ht="15" hidden="false" customHeight="true" outlineLevel="0" collapsed="false">
      <c r="A120" s="11"/>
      <c r="B120" s="11"/>
      <c r="C120" s="11"/>
      <c r="D120" s="11"/>
      <c r="E120" s="11"/>
      <c r="F120" s="11"/>
      <c r="G120" s="11"/>
      <c r="H120" s="11"/>
      <c r="I120" s="11"/>
      <c r="J120" s="11"/>
      <c r="K120" s="11"/>
      <c r="L120" s="11"/>
      <c r="M120" s="11"/>
      <c r="N120" s="11"/>
      <c r="O120" s="11"/>
      <c r="P120" s="11"/>
      <c r="Q120" s="7" t="str">
        <f aca="false">IF(D120="","",IF(AND(M120="Approved",N120&lt;&gt;"",O120&lt;&gt;""),"Ready","Not yet"))</f>
        <v/>
      </c>
    </row>
    <row r="121" customFormat="false" ht="15" hidden="false" customHeight="true" outlineLevel="0" collapsed="false">
      <c r="A121" s="11"/>
      <c r="B121" s="11"/>
      <c r="C121" s="11"/>
      <c r="D121" s="11"/>
      <c r="E121" s="11"/>
      <c r="F121" s="11"/>
      <c r="G121" s="11"/>
      <c r="H121" s="11"/>
      <c r="I121" s="11"/>
      <c r="J121" s="11"/>
      <c r="K121" s="11"/>
      <c r="L121" s="11"/>
      <c r="M121" s="11"/>
      <c r="N121" s="11"/>
      <c r="O121" s="11"/>
      <c r="P121" s="11"/>
      <c r="Q121" s="7" t="str">
        <f aca="false">IF(D121="","",IF(AND(M121="Approved",N121&lt;&gt;"",O121&lt;&gt;""),"Ready","Not yet"))</f>
        <v/>
      </c>
    </row>
    <row r="122" customFormat="false" ht="15" hidden="false" customHeight="true" outlineLevel="0" collapsed="false">
      <c r="A122" s="11"/>
      <c r="B122" s="11"/>
      <c r="C122" s="11"/>
      <c r="D122" s="11"/>
      <c r="E122" s="11"/>
      <c r="F122" s="11"/>
      <c r="G122" s="11"/>
      <c r="H122" s="11"/>
      <c r="I122" s="11"/>
      <c r="J122" s="11"/>
      <c r="K122" s="11"/>
      <c r="L122" s="11"/>
      <c r="M122" s="11"/>
      <c r="N122" s="11"/>
      <c r="O122" s="11"/>
      <c r="P122" s="11"/>
      <c r="Q122" s="7" t="str">
        <f aca="false">IF(D122="","",IF(AND(M122="Approved",N122&lt;&gt;"",O122&lt;&gt;""),"Ready","Not yet"))</f>
        <v/>
      </c>
    </row>
    <row r="123" customFormat="false" ht="15" hidden="false" customHeight="true" outlineLevel="0" collapsed="false">
      <c r="A123" s="11"/>
      <c r="B123" s="11"/>
      <c r="C123" s="11"/>
      <c r="D123" s="11"/>
      <c r="E123" s="11"/>
      <c r="F123" s="11"/>
      <c r="G123" s="11"/>
      <c r="H123" s="11"/>
      <c r="I123" s="11"/>
      <c r="J123" s="11"/>
      <c r="K123" s="11"/>
      <c r="L123" s="11"/>
      <c r="M123" s="11"/>
      <c r="N123" s="11"/>
      <c r="O123" s="11"/>
      <c r="P123" s="11"/>
      <c r="Q123" s="7" t="str">
        <f aca="false">IF(D123="","",IF(AND(M123="Approved",N123&lt;&gt;"",O123&lt;&gt;""),"Ready","Not yet"))</f>
        <v/>
      </c>
    </row>
    <row r="124" customFormat="false" ht="15" hidden="false" customHeight="true" outlineLevel="0" collapsed="false">
      <c r="A124" s="11"/>
      <c r="B124" s="11"/>
      <c r="C124" s="11"/>
      <c r="D124" s="11"/>
      <c r="E124" s="11"/>
      <c r="F124" s="11"/>
      <c r="G124" s="11"/>
      <c r="H124" s="11"/>
      <c r="I124" s="11"/>
      <c r="J124" s="11"/>
      <c r="K124" s="11"/>
      <c r="L124" s="11"/>
      <c r="M124" s="11"/>
      <c r="N124" s="11"/>
      <c r="O124" s="11"/>
      <c r="P124" s="11"/>
      <c r="Q124" s="7" t="str">
        <f aca="false">IF(D124="","",IF(AND(M124="Approved",N124&lt;&gt;"",O124&lt;&gt;""),"Ready","Not yet"))</f>
        <v/>
      </c>
    </row>
    <row r="125" customFormat="false" ht="15" hidden="false" customHeight="true" outlineLevel="0" collapsed="false">
      <c r="A125" s="11"/>
      <c r="B125" s="11"/>
      <c r="C125" s="11"/>
      <c r="D125" s="11"/>
      <c r="E125" s="11"/>
      <c r="F125" s="11"/>
      <c r="G125" s="11"/>
      <c r="H125" s="11"/>
      <c r="I125" s="11"/>
      <c r="J125" s="11"/>
      <c r="K125" s="11"/>
      <c r="L125" s="11"/>
      <c r="M125" s="11"/>
      <c r="N125" s="11"/>
      <c r="O125" s="11"/>
      <c r="P125" s="11"/>
      <c r="Q125" s="7" t="str">
        <f aca="false">IF(D125="","",IF(AND(M125="Approved",N125&lt;&gt;"",O125&lt;&gt;""),"Ready","Not yet"))</f>
        <v/>
      </c>
    </row>
    <row r="126" customFormat="false" ht="15" hidden="false" customHeight="true" outlineLevel="0" collapsed="false">
      <c r="A126" s="11"/>
      <c r="B126" s="11"/>
      <c r="C126" s="11"/>
      <c r="D126" s="11"/>
      <c r="E126" s="11"/>
      <c r="F126" s="11"/>
      <c r="G126" s="11"/>
      <c r="H126" s="11"/>
      <c r="I126" s="11"/>
      <c r="J126" s="11"/>
      <c r="K126" s="11"/>
      <c r="L126" s="11"/>
      <c r="M126" s="11"/>
      <c r="N126" s="11"/>
      <c r="O126" s="11"/>
      <c r="P126" s="11"/>
      <c r="Q126" s="7" t="str">
        <f aca="false">IF(D126="","",IF(AND(M126="Approved",N126&lt;&gt;"",O126&lt;&gt;""),"Ready","Not yet"))</f>
        <v/>
      </c>
    </row>
    <row r="127" customFormat="false" ht="15" hidden="false" customHeight="true" outlineLevel="0" collapsed="false">
      <c r="A127" s="11"/>
      <c r="B127" s="11"/>
      <c r="C127" s="11"/>
      <c r="D127" s="11"/>
      <c r="E127" s="11"/>
      <c r="F127" s="11"/>
      <c r="G127" s="11"/>
      <c r="H127" s="11"/>
      <c r="I127" s="11"/>
      <c r="J127" s="11"/>
      <c r="K127" s="11"/>
      <c r="L127" s="11"/>
      <c r="M127" s="11"/>
      <c r="N127" s="11"/>
      <c r="O127" s="11"/>
      <c r="P127" s="11"/>
      <c r="Q127" s="7" t="str">
        <f aca="false">IF(D127="","",IF(AND(M127="Approved",N127&lt;&gt;"",O127&lt;&gt;""),"Ready","Not yet"))</f>
        <v/>
      </c>
    </row>
    <row r="128" customFormat="false" ht="15" hidden="false" customHeight="true" outlineLevel="0" collapsed="false">
      <c r="A128" s="11"/>
      <c r="B128" s="11"/>
      <c r="C128" s="11"/>
      <c r="D128" s="11"/>
      <c r="E128" s="11"/>
      <c r="F128" s="11"/>
      <c r="G128" s="11"/>
      <c r="H128" s="11"/>
      <c r="I128" s="11"/>
      <c r="J128" s="11"/>
      <c r="K128" s="11"/>
      <c r="L128" s="11"/>
      <c r="M128" s="11"/>
      <c r="N128" s="11"/>
      <c r="O128" s="11"/>
      <c r="P128" s="11"/>
      <c r="Q128" s="7" t="str">
        <f aca="false">IF(D128="","",IF(AND(M128="Approved",N128&lt;&gt;"",O128&lt;&gt;""),"Ready","Not yet"))</f>
        <v/>
      </c>
    </row>
    <row r="129" customFormat="false" ht="15" hidden="false" customHeight="true" outlineLevel="0" collapsed="false">
      <c r="A129" s="11"/>
      <c r="B129" s="11"/>
      <c r="C129" s="11"/>
      <c r="D129" s="11"/>
      <c r="E129" s="11"/>
      <c r="F129" s="11"/>
      <c r="G129" s="11"/>
      <c r="H129" s="11"/>
      <c r="I129" s="11"/>
      <c r="J129" s="11"/>
      <c r="K129" s="11"/>
      <c r="L129" s="11"/>
      <c r="M129" s="11"/>
      <c r="N129" s="11"/>
      <c r="O129" s="11"/>
      <c r="P129" s="11"/>
      <c r="Q129" s="7" t="str">
        <f aca="false">IF(D129="","",IF(AND(M129="Approved",N129&lt;&gt;"",O129&lt;&gt;""),"Ready","Not yet"))</f>
        <v/>
      </c>
    </row>
    <row r="130" customFormat="false" ht="15" hidden="false" customHeight="true" outlineLevel="0" collapsed="false">
      <c r="A130" s="11"/>
      <c r="B130" s="11"/>
      <c r="C130" s="11"/>
      <c r="D130" s="11"/>
      <c r="E130" s="11"/>
      <c r="F130" s="11"/>
      <c r="G130" s="11"/>
      <c r="H130" s="11"/>
      <c r="I130" s="11"/>
      <c r="J130" s="11"/>
      <c r="K130" s="11"/>
      <c r="L130" s="11"/>
      <c r="M130" s="11"/>
      <c r="N130" s="11"/>
      <c r="O130" s="11"/>
      <c r="P130" s="11"/>
      <c r="Q130" s="7" t="str">
        <f aca="false">IF(D130="","",IF(AND(M130="Approved",N130&lt;&gt;"",O130&lt;&gt;""),"Ready","Not yet"))</f>
        <v/>
      </c>
    </row>
    <row r="131" customFormat="false" ht="15" hidden="false" customHeight="true" outlineLevel="0" collapsed="false">
      <c r="A131" s="11"/>
      <c r="B131" s="11"/>
      <c r="C131" s="11"/>
      <c r="D131" s="11"/>
      <c r="E131" s="11"/>
      <c r="F131" s="11"/>
      <c r="G131" s="11"/>
      <c r="H131" s="11"/>
      <c r="I131" s="11"/>
      <c r="J131" s="11"/>
      <c r="K131" s="11"/>
      <c r="L131" s="11"/>
      <c r="M131" s="11"/>
      <c r="N131" s="11"/>
      <c r="O131" s="11"/>
      <c r="P131" s="11"/>
      <c r="Q131" s="7" t="str">
        <f aca="false">IF(D131="","",IF(AND(M131="Approved",N131&lt;&gt;"",O131&lt;&gt;""),"Ready","Not yet"))</f>
        <v/>
      </c>
    </row>
    <row r="132" customFormat="false" ht="15" hidden="false" customHeight="true" outlineLevel="0" collapsed="false">
      <c r="A132" s="11"/>
      <c r="B132" s="11"/>
      <c r="C132" s="11"/>
      <c r="D132" s="11"/>
      <c r="E132" s="11"/>
      <c r="F132" s="11"/>
      <c r="G132" s="11"/>
      <c r="H132" s="11"/>
      <c r="I132" s="11"/>
      <c r="J132" s="11"/>
      <c r="K132" s="11"/>
      <c r="L132" s="11"/>
      <c r="M132" s="11"/>
      <c r="N132" s="11"/>
      <c r="O132" s="11"/>
      <c r="P132" s="11"/>
      <c r="Q132" s="7" t="str">
        <f aca="false">IF(D132="","",IF(AND(M132="Approved",N132&lt;&gt;"",O132&lt;&gt;""),"Ready","Not yet"))</f>
        <v/>
      </c>
    </row>
    <row r="133" customFormat="false" ht="15" hidden="false" customHeight="true" outlineLevel="0" collapsed="false">
      <c r="A133" s="11"/>
      <c r="B133" s="11"/>
      <c r="C133" s="11"/>
      <c r="D133" s="11"/>
      <c r="E133" s="11"/>
      <c r="F133" s="11"/>
      <c r="G133" s="11"/>
      <c r="H133" s="11"/>
      <c r="I133" s="11"/>
      <c r="J133" s="11"/>
      <c r="K133" s="11"/>
      <c r="L133" s="11"/>
      <c r="M133" s="11"/>
      <c r="N133" s="11"/>
      <c r="O133" s="11"/>
      <c r="P133" s="11"/>
      <c r="Q133" s="7" t="str">
        <f aca="false">IF(D133="","",IF(AND(M133="Approved",N133&lt;&gt;"",O133&lt;&gt;""),"Ready","Not yet"))</f>
        <v/>
      </c>
    </row>
    <row r="134" customFormat="false" ht="15" hidden="false" customHeight="true" outlineLevel="0" collapsed="false">
      <c r="A134" s="11"/>
      <c r="B134" s="11"/>
      <c r="C134" s="11"/>
      <c r="D134" s="11"/>
      <c r="E134" s="11"/>
      <c r="F134" s="11"/>
      <c r="G134" s="11"/>
      <c r="H134" s="11"/>
      <c r="I134" s="11"/>
      <c r="J134" s="11"/>
      <c r="K134" s="11"/>
      <c r="L134" s="11"/>
      <c r="M134" s="11"/>
      <c r="N134" s="11"/>
      <c r="O134" s="11"/>
      <c r="P134" s="11"/>
      <c r="Q134" s="7" t="str">
        <f aca="false">IF(D134="","",IF(AND(M134="Approved",N134&lt;&gt;"",O134&lt;&gt;""),"Ready","Not yet"))</f>
        <v/>
      </c>
    </row>
    <row r="135" customFormat="false" ht="15" hidden="false" customHeight="true" outlineLevel="0" collapsed="false">
      <c r="A135" s="11"/>
      <c r="B135" s="11"/>
      <c r="C135" s="11"/>
      <c r="D135" s="11"/>
      <c r="E135" s="11"/>
      <c r="F135" s="11"/>
      <c r="G135" s="11"/>
      <c r="H135" s="11"/>
      <c r="I135" s="11"/>
      <c r="J135" s="11"/>
      <c r="K135" s="11"/>
      <c r="L135" s="11"/>
      <c r="M135" s="11"/>
      <c r="N135" s="11"/>
      <c r="O135" s="11"/>
      <c r="P135" s="11"/>
      <c r="Q135" s="7" t="str">
        <f aca="false">IF(D135="","",IF(AND(M135="Approved",N135&lt;&gt;"",O135&lt;&gt;""),"Ready","Not yet"))</f>
        <v/>
      </c>
    </row>
    <row r="136" customFormat="false" ht="15" hidden="false" customHeight="true" outlineLevel="0" collapsed="false">
      <c r="A136" s="11"/>
      <c r="B136" s="11"/>
      <c r="C136" s="11"/>
      <c r="D136" s="11"/>
      <c r="E136" s="11"/>
      <c r="F136" s="11"/>
      <c r="G136" s="11"/>
      <c r="H136" s="11"/>
      <c r="I136" s="11"/>
      <c r="J136" s="11"/>
      <c r="K136" s="11"/>
      <c r="L136" s="11"/>
      <c r="M136" s="11"/>
      <c r="N136" s="11"/>
      <c r="O136" s="11"/>
      <c r="P136" s="11"/>
      <c r="Q136" s="7" t="str">
        <f aca="false">IF(D136="","",IF(AND(M136="Approved",N136&lt;&gt;"",O136&lt;&gt;""),"Ready","Not yet"))</f>
        <v/>
      </c>
    </row>
    <row r="137" customFormat="false" ht="15" hidden="false" customHeight="true" outlineLevel="0" collapsed="false">
      <c r="A137" s="11"/>
      <c r="B137" s="11"/>
      <c r="C137" s="11"/>
      <c r="D137" s="11"/>
      <c r="E137" s="11"/>
      <c r="F137" s="11"/>
      <c r="G137" s="11"/>
      <c r="H137" s="11"/>
      <c r="I137" s="11"/>
      <c r="J137" s="11"/>
      <c r="K137" s="11"/>
      <c r="L137" s="11"/>
      <c r="M137" s="11"/>
      <c r="N137" s="11"/>
      <c r="O137" s="11"/>
      <c r="P137" s="11"/>
      <c r="Q137" s="7" t="str">
        <f aca="false">IF(D137="","",IF(AND(M137="Approved",N137&lt;&gt;"",O137&lt;&gt;""),"Ready","Not yet"))</f>
        <v/>
      </c>
    </row>
    <row r="138" customFormat="false" ht="15" hidden="false" customHeight="true" outlineLevel="0" collapsed="false">
      <c r="A138" s="11"/>
      <c r="B138" s="11"/>
      <c r="C138" s="11"/>
      <c r="D138" s="11"/>
      <c r="E138" s="11"/>
      <c r="F138" s="11"/>
      <c r="G138" s="11"/>
      <c r="H138" s="11"/>
      <c r="I138" s="11"/>
      <c r="J138" s="11"/>
      <c r="K138" s="11"/>
      <c r="L138" s="11"/>
      <c r="M138" s="11"/>
      <c r="N138" s="11"/>
      <c r="O138" s="11"/>
      <c r="P138" s="11"/>
      <c r="Q138" s="7" t="str">
        <f aca="false">IF(D138="","",IF(AND(M138="Approved",N138&lt;&gt;"",O138&lt;&gt;""),"Ready","Not yet"))</f>
        <v/>
      </c>
    </row>
    <row r="139" customFormat="false" ht="15" hidden="false" customHeight="true" outlineLevel="0" collapsed="false">
      <c r="A139" s="11"/>
      <c r="B139" s="11"/>
      <c r="C139" s="11"/>
      <c r="D139" s="11"/>
      <c r="E139" s="11"/>
      <c r="F139" s="11"/>
      <c r="G139" s="11"/>
      <c r="H139" s="11"/>
      <c r="I139" s="11"/>
      <c r="J139" s="11"/>
      <c r="K139" s="11"/>
      <c r="L139" s="11"/>
      <c r="M139" s="11"/>
      <c r="N139" s="11"/>
      <c r="O139" s="11"/>
      <c r="P139" s="11"/>
      <c r="Q139" s="7" t="str">
        <f aca="false">IF(D139="","",IF(AND(M139="Approved",N139&lt;&gt;"",O139&lt;&gt;""),"Ready","Not yet"))</f>
        <v/>
      </c>
    </row>
    <row r="140" customFormat="false" ht="15" hidden="false" customHeight="true" outlineLevel="0" collapsed="false">
      <c r="A140" s="11"/>
      <c r="B140" s="11"/>
      <c r="C140" s="11"/>
      <c r="D140" s="11"/>
      <c r="E140" s="11"/>
      <c r="F140" s="11"/>
      <c r="G140" s="11"/>
      <c r="H140" s="11"/>
      <c r="I140" s="11"/>
      <c r="J140" s="11"/>
      <c r="K140" s="11"/>
      <c r="L140" s="11"/>
      <c r="M140" s="11"/>
      <c r="N140" s="11"/>
      <c r="O140" s="11"/>
      <c r="P140" s="11"/>
      <c r="Q140" s="7" t="str">
        <f aca="false">IF(D140="","",IF(AND(M140="Approved",N140&lt;&gt;"",O140&lt;&gt;""),"Ready","Not yet"))</f>
        <v/>
      </c>
    </row>
    <row r="141" customFormat="false" ht="15" hidden="false" customHeight="true" outlineLevel="0" collapsed="false">
      <c r="A141" s="11"/>
      <c r="B141" s="11"/>
      <c r="C141" s="11"/>
      <c r="D141" s="11"/>
      <c r="E141" s="11"/>
      <c r="F141" s="11"/>
      <c r="G141" s="11"/>
      <c r="H141" s="11"/>
      <c r="I141" s="11"/>
      <c r="J141" s="11"/>
      <c r="K141" s="11"/>
      <c r="L141" s="11"/>
      <c r="M141" s="11"/>
      <c r="N141" s="11"/>
      <c r="O141" s="11"/>
      <c r="P141" s="11"/>
      <c r="Q141" s="7" t="str">
        <f aca="false">IF(D141="","",IF(AND(M141="Approved",N141&lt;&gt;"",O141&lt;&gt;""),"Ready","Not yet"))</f>
        <v/>
      </c>
    </row>
    <row r="142" customFormat="false" ht="15" hidden="false" customHeight="true" outlineLevel="0" collapsed="false">
      <c r="A142" s="11"/>
      <c r="B142" s="11"/>
      <c r="C142" s="11"/>
      <c r="D142" s="11"/>
      <c r="E142" s="11"/>
      <c r="F142" s="11"/>
      <c r="G142" s="11"/>
      <c r="H142" s="11"/>
      <c r="I142" s="11"/>
      <c r="J142" s="11"/>
      <c r="K142" s="11"/>
      <c r="L142" s="11"/>
      <c r="M142" s="11"/>
      <c r="N142" s="11"/>
      <c r="O142" s="11"/>
      <c r="P142" s="11"/>
      <c r="Q142" s="7" t="str">
        <f aca="false">IF(D142="","",IF(AND(M142="Approved",N142&lt;&gt;"",O142&lt;&gt;""),"Ready","Not yet"))</f>
        <v/>
      </c>
    </row>
    <row r="143" customFormat="false" ht="15" hidden="false" customHeight="true" outlineLevel="0" collapsed="false">
      <c r="A143" s="11"/>
      <c r="B143" s="11"/>
      <c r="C143" s="11"/>
      <c r="D143" s="11"/>
      <c r="E143" s="11"/>
      <c r="F143" s="11"/>
      <c r="G143" s="11"/>
      <c r="H143" s="11"/>
      <c r="I143" s="11"/>
      <c r="J143" s="11"/>
      <c r="K143" s="11"/>
      <c r="L143" s="11"/>
      <c r="M143" s="11"/>
      <c r="N143" s="11"/>
      <c r="O143" s="11"/>
      <c r="P143" s="11"/>
      <c r="Q143" s="7" t="str">
        <f aca="false">IF(D143="","",IF(AND(M143="Approved",N143&lt;&gt;"",O143&lt;&gt;""),"Ready","Not yet"))</f>
        <v/>
      </c>
    </row>
    <row r="144" customFormat="false" ht="15" hidden="false" customHeight="true" outlineLevel="0" collapsed="false">
      <c r="A144" s="11"/>
      <c r="B144" s="11"/>
      <c r="C144" s="11"/>
      <c r="D144" s="11"/>
      <c r="E144" s="11"/>
      <c r="F144" s="11"/>
      <c r="G144" s="11"/>
      <c r="H144" s="11"/>
      <c r="I144" s="11"/>
      <c r="J144" s="11"/>
      <c r="K144" s="11"/>
      <c r="L144" s="11"/>
      <c r="M144" s="11"/>
      <c r="N144" s="11"/>
      <c r="O144" s="11"/>
      <c r="P144" s="11"/>
      <c r="Q144" s="7" t="str">
        <f aca="false">IF(D144="","",IF(AND(M144="Approved",N144&lt;&gt;"",O144&lt;&gt;""),"Ready","Not yet"))</f>
        <v/>
      </c>
    </row>
    <row r="145" customFormat="false" ht="15" hidden="false" customHeight="true" outlineLevel="0" collapsed="false">
      <c r="A145" s="11"/>
      <c r="B145" s="11"/>
      <c r="C145" s="11"/>
      <c r="D145" s="11"/>
      <c r="E145" s="11"/>
      <c r="F145" s="11"/>
      <c r="G145" s="11"/>
      <c r="H145" s="11"/>
      <c r="I145" s="11"/>
      <c r="J145" s="11"/>
      <c r="K145" s="11"/>
      <c r="L145" s="11"/>
      <c r="M145" s="11"/>
      <c r="N145" s="11"/>
      <c r="O145" s="11"/>
      <c r="P145" s="11"/>
      <c r="Q145" s="7" t="str">
        <f aca="false">IF(D145="","",IF(AND(M145="Approved",N145&lt;&gt;"",O145&lt;&gt;""),"Ready","Not yet"))</f>
        <v/>
      </c>
    </row>
    <row r="146" customFormat="false" ht="15" hidden="false" customHeight="true" outlineLevel="0" collapsed="false">
      <c r="A146" s="11"/>
      <c r="B146" s="11"/>
      <c r="C146" s="11"/>
      <c r="D146" s="11"/>
      <c r="E146" s="11"/>
      <c r="F146" s="11"/>
      <c r="G146" s="11"/>
      <c r="H146" s="11"/>
      <c r="I146" s="11"/>
      <c r="J146" s="11"/>
      <c r="K146" s="11"/>
      <c r="L146" s="11"/>
      <c r="M146" s="11"/>
      <c r="N146" s="11"/>
      <c r="O146" s="11"/>
      <c r="P146" s="11"/>
      <c r="Q146" s="7" t="str">
        <f aca="false">IF(D146="","",IF(AND(M146="Approved",N146&lt;&gt;"",O146&lt;&gt;""),"Ready","Not yet"))</f>
        <v/>
      </c>
    </row>
    <row r="147" customFormat="false" ht="15" hidden="false" customHeight="true" outlineLevel="0" collapsed="false">
      <c r="A147" s="11"/>
      <c r="B147" s="11"/>
      <c r="C147" s="11"/>
      <c r="D147" s="11"/>
      <c r="E147" s="11"/>
      <c r="F147" s="11"/>
      <c r="G147" s="11"/>
      <c r="H147" s="11"/>
      <c r="I147" s="11"/>
      <c r="J147" s="11"/>
      <c r="K147" s="11"/>
      <c r="L147" s="11"/>
      <c r="M147" s="11"/>
      <c r="N147" s="11"/>
      <c r="O147" s="11"/>
      <c r="P147" s="11"/>
      <c r="Q147" s="7" t="str">
        <f aca="false">IF(D147="","",IF(AND(M147="Approved",N147&lt;&gt;"",O147&lt;&gt;""),"Ready","Not yet"))</f>
        <v/>
      </c>
    </row>
    <row r="148" customFormat="false" ht="15" hidden="false" customHeight="true" outlineLevel="0" collapsed="false">
      <c r="A148" s="11"/>
      <c r="B148" s="11"/>
      <c r="C148" s="11"/>
      <c r="D148" s="11"/>
      <c r="E148" s="11"/>
      <c r="F148" s="11"/>
      <c r="G148" s="11"/>
      <c r="H148" s="11"/>
      <c r="I148" s="11"/>
      <c r="J148" s="11"/>
      <c r="K148" s="11"/>
      <c r="L148" s="11"/>
      <c r="M148" s="11"/>
      <c r="N148" s="11"/>
      <c r="O148" s="11"/>
      <c r="P148" s="11"/>
      <c r="Q148" s="7" t="str">
        <f aca="false">IF(D148="","",IF(AND(M148="Approved",N148&lt;&gt;"",O148&lt;&gt;""),"Ready","Not yet"))</f>
        <v/>
      </c>
    </row>
    <row r="149" customFormat="false" ht="15" hidden="false" customHeight="true" outlineLevel="0" collapsed="false">
      <c r="A149" s="11"/>
      <c r="B149" s="11"/>
      <c r="C149" s="11"/>
      <c r="D149" s="11"/>
      <c r="E149" s="11"/>
      <c r="F149" s="11"/>
      <c r="G149" s="11"/>
      <c r="H149" s="11"/>
      <c r="I149" s="11"/>
      <c r="J149" s="11"/>
      <c r="K149" s="11"/>
      <c r="L149" s="11"/>
      <c r="M149" s="11"/>
      <c r="N149" s="11"/>
      <c r="O149" s="11"/>
      <c r="P149" s="11"/>
      <c r="Q149" s="7" t="str">
        <f aca="false">IF(D149="","",IF(AND(M149="Approved",N149&lt;&gt;"",O149&lt;&gt;""),"Ready","Not yet"))</f>
        <v/>
      </c>
    </row>
    <row r="150" customFormat="false" ht="15" hidden="false" customHeight="true" outlineLevel="0" collapsed="false">
      <c r="A150" s="11"/>
      <c r="B150" s="11"/>
      <c r="C150" s="11"/>
      <c r="D150" s="11"/>
      <c r="E150" s="11"/>
      <c r="F150" s="11"/>
      <c r="G150" s="11"/>
      <c r="H150" s="11"/>
      <c r="I150" s="11"/>
      <c r="J150" s="11"/>
      <c r="K150" s="11"/>
      <c r="L150" s="11"/>
      <c r="M150" s="11"/>
      <c r="N150" s="11"/>
      <c r="O150" s="11"/>
      <c r="P150" s="11"/>
      <c r="Q150" s="7" t="str">
        <f aca="false">IF(D150="","",IF(AND(M150="Approved",N150&lt;&gt;"",O150&lt;&gt;""),"Ready","Not yet"))</f>
        <v/>
      </c>
    </row>
    <row r="151" customFormat="false" ht="15" hidden="false" customHeight="true" outlineLevel="0" collapsed="false">
      <c r="A151" s="11"/>
      <c r="B151" s="11"/>
      <c r="C151" s="11"/>
      <c r="D151" s="11"/>
      <c r="E151" s="11"/>
      <c r="F151" s="11"/>
      <c r="G151" s="11"/>
      <c r="H151" s="11"/>
      <c r="I151" s="11"/>
      <c r="J151" s="11"/>
      <c r="K151" s="11"/>
      <c r="L151" s="11"/>
      <c r="M151" s="11"/>
      <c r="N151" s="11"/>
      <c r="O151" s="11"/>
      <c r="P151" s="11"/>
      <c r="Q151" s="7" t="str">
        <f aca="false">IF(D151="","",IF(AND(M151="Approved",N151&lt;&gt;"",O151&lt;&gt;""),"Ready","Not yet"))</f>
        <v/>
      </c>
    </row>
    <row r="152" customFormat="false" ht="15" hidden="false" customHeight="true" outlineLevel="0" collapsed="false">
      <c r="A152" s="11"/>
      <c r="B152" s="11"/>
      <c r="C152" s="11"/>
      <c r="D152" s="11"/>
      <c r="E152" s="11"/>
      <c r="F152" s="11"/>
      <c r="G152" s="11"/>
      <c r="H152" s="11"/>
      <c r="I152" s="11"/>
      <c r="J152" s="11"/>
      <c r="K152" s="11"/>
      <c r="L152" s="11"/>
      <c r="M152" s="11"/>
      <c r="N152" s="11"/>
      <c r="O152" s="11"/>
      <c r="P152" s="11"/>
      <c r="Q152" s="7" t="str">
        <f aca="false">IF(D152="","",IF(AND(M152="Approved",N152&lt;&gt;"",O152&lt;&gt;""),"Ready","Not yet"))</f>
        <v/>
      </c>
    </row>
    <row r="153" customFormat="false" ht="15" hidden="false" customHeight="true" outlineLevel="0" collapsed="false">
      <c r="A153" s="11"/>
      <c r="B153" s="11"/>
      <c r="C153" s="11"/>
      <c r="D153" s="11"/>
      <c r="E153" s="11"/>
      <c r="F153" s="11"/>
      <c r="G153" s="11"/>
      <c r="H153" s="11"/>
      <c r="I153" s="11"/>
      <c r="J153" s="11"/>
      <c r="K153" s="11"/>
      <c r="L153" s="11"/>
      <c r="M153" s="11"/>
      <c r="N153" s="11"/>
      <c r="O153" s="11"/>
      <c r="P153" s="11"/>
      <c r="Q153" s="7" t="str">
        <f aca="false">IF(D153="","",IF(AND(M153="Approved",N153&lt;&gt;"",O153&lt;&gt;""),"Ready","Not yet"))</f>
        <v/>
      </c>
    </row>
    <row r="154" customFormat="false" ht="15" hidden="false" customHeight="true" outlineLevel="0" collapsed="false">
      <c r="A154" s="11"/>
      <c r="B154" s="11"/>
      <c r="C154" s="11"/>
      <c r="D154" s="11"/>
      <c r="E154" s="11"/>
      <c r="F154" s="11"/>
      <c r="G154" s="11"/>
      <c r="H154" s="11"/>
      <c r="I154" s="11"/>
      <c r="J154" s="11"/>
      <c r="K154" s="11"/>
      <c r="L154" s="11"/>
      <c r="M154" s="11"/>
      <c r="N154" s="11"/>
      <c r="O154" s="11"/>
      <c r="P154" s="11"/>
      <c r="Q154" s="7" t="str">
        <f aca="false">IF(D154="","",IF(AND(M154="Approved",N154&lt;&gt;"",O154&lt;&gt;""),"Ready","Not yet"))</f>
        <v/>
      </c>
    </row>
    <row r="155" customFormat="false" ht="15" hidden="false" customHeight="true" outlineLevel="0" collapsed="false">
      <c r="A155" s="11"/>
      <c r="B155" s="11"/>
      <c r="C155" s="11"/>
      <c r="D155" s="11"/>
      <c r="E155" s="11"/>
      <c r="F155" s="11"/>
      <c r="G155" s="11"/>
      <c r="H155" s="11"/>
      <c r="I155" s="11"/>
      <c r="J155" s="11"/>
      <c r="K155" s="11"/>
      <c r="L155" s="11"/>
      <c r="M155" s="11"/>
      <c r="N155" s="11"/>
      <c r="O155" s="11"/>
      <c r="P155" s="11"/>
      <c r="Q155" s="7" t="str">
        <f aca="false">IF(D155="","",IF(AND(M155="Approved",N155&lt;&gt;"",O155&lt;&gt;""),"Ready","Not yet"))</f>
        <v/>
      </c>
    </row>
    <row r="156" customFormat="false" ht="15" hidden="false" customHeight="true" outlineLevel="0" collapsed="false">
      <c r="A156" s="11"/>
      <c r="B156" s="11"/>
      <c r="C156" s="11"/>
      <c r="D156" s="11"/>
      <c r="E156" s="11"/>
      <c r="F156" s="11"/>
      <c r="G156" s="11"/>
      <c r="H156" s="11"/>
      <c r="I156" s="11"/>
      <c r="J156" s="11"/>
      <c r="K156" s="11"/>
      <c r="L156" s="11"/>
      <c r="M156" s="11"/>
      <c r="N156" s="11"/>
      <c r="O156" s="11"/>
      <c r="P156" s="11"/>
      <c r="Q156" s="7" t="str">
        <f aca="false">IF(D156="","",IF(AND(M156="Approved",N156&lt;&gt;"",O156&lt;&gt;""),"Ready","Not yet"))</f>
        <v/>
      </c>
    </row>
    <row r="157" customFormat="false" ht="15" hidden="false" customHeight="true" outlineLevel="0" collapsed="false">
      <c r="A157" s="11"/>
      <c r="B157" s="11"/>
      <c r="C157" s="11"/>
      <c r="D157" s="11"/>
      <c r="E157" s="11"/>
      <c r="F157" s="11"/>
      <c r="G157" s="11"/>
      <c r="H157" s="11"/>
      <c r="I157" s="11"/>
      <c r="J157" s="11"/>
      <c r="K157" s="11"/>
      <c r="L157" s="11"/>
      <c r="M157" s="11"/>
      <c r="N157" s="11"/>
      <c r="O157" s="11"/>
      <c r="P157" s="11"/>
      <c r="Q157" s="7" t="str">
        <f aca="false">IF(D157="","",IF(AND(M157="Approved",N157&lt;&gt;"",O157&lt;&gt;""),"Ready","Not yet"))</f>
        <v/>
      </c>
    </row>
    <row r="158" customFormat="false" ht="15" hidden="false" customHeight="true" outlineLevel="0" collapsed="false">
      <c r="A158" s="11"/>
      <c r="B158" s="11"/>
      <c r="C158" s="11"/>
      <c r="D158" s="11"/>
      <c r="E158" s="11"/>
      <c r="F158" s="11"/>
      <c r="G158" s="11"/>
      <c r="H158" s="11"/>
      <c r="I158" s="11"/>
      <c r="J158" s="11"/>
      <c r="K158" s="11"/>
      <c r="L158" s="11"/>
      <c r="M158" s="11"/>
      <c r="N158" s="11"/>
      <c r="O158" s="11"/>
      <c r="P158" s="11"/>
      <c r="Q158" s="7" t="str">
        <f aca="false">IF(D158="","",IF(AND(M158="Approved",N158&lt;&gt;"",O158&lt;&gt;""),"Ready","Not yet"))</f>
        <v/>
      </c>
    </row>
    <row r="159" customFormat="false" ht="15" hidden="false" customHeight="true" outlineLevel="0" collapsed="false">
      <c r="A159" s="11"/>
      <c r="B159" s="11"/>
      <c r="C159" s="11"/>
      <c r="D159" s="11"/>
      <c r="E159" s="11"/>
      <c r="F159" s="11"/>
      <c r="G159" s="11"/>
      <c r="H159" s="11"/>
      <c r="I159" s="11"/>
      <c r="J159" s="11"/>
      <c r="K159" s="11"/>
      <c r="L159" s="11"/>
      <c r="M159" s="11"/>
      <c r="N159" s="11"/>
      <c r="O159" s="11"/>
      <c r="P159" s="11"/>
      <c r="Q159" s="7" t="str">
        <f aca="false">IF(D159="","",IF(AND(M159="Approved",N159&lt;&gt;"",O159&lt;&gt;""),"Ready","Not yet"))</f>
        <v/>
      </c>
    </row>
    <row r="160" customFormat="false" ht="15" hidden="false" customHeight="true" outlineLevel="0" collapsed="false">
      <c r="A160" s="11"/>
      <c r="B160" s="11"/>
      <c r="C160" s="11"/>
      <c r="D160" s="11"/>
      <c r="E160" s="11"/>
      <c r="F160" s="11"/>
      <c r="G160" s="11"/>
      <c r="H160" s="11"/>
      <c r="I160" s="11"/>
      <c r="J160" s="11"/>
      <c r="K160" s="11"/>
      <c r="L160" s="11"/>
      <c r="M160" s="11"/>
      <c r="N160" s="11"/>
      <c r="O160" s="11"/>
      <c r="P160" s="11"/>
      <c r="Q160" s="7" t="str">
        <f aca="false">IF(D160="","",IF(AND(M160="Approved",N160&lt;&gt;"",O160&lt;&gt;""),"Ready","Not yet"))</f>
        <v/>
      </c>
    </row>
    <row r="161" customFormat="false" ht="15" hidden="false" customHeight="true" outlineLevel="0" collapsed="false">
      <c r="A161" s="11"/>
      <c r="B161" s="11"/>
      <c r="C161" s="11"/>
      <c r="D161" s="11"/>
      <c r="E161" s="11"/>
      <c r="F161" s="11"/>
      <c r="G161" s="11"/>
      <c r="H161" s="11"/>
      <c r="I161" s="11"/>
      <c r="J161" s="11"/>
      <c r="K161" s="11"/>
      <c r="L161" s="11"/>
      <c r="M161" s="11"/>
      <c r="N161" s="11"/>
      <c r="O161" s="11"/>
      <c r="P161" s="11"/>
      <c r="Q161" s="7" t="str">
        <f aca="false">IF(D161="","",IF(AND(M161="Approved",N161&lt;&gt;"",O161&lt;&gt;""),"Ready","Not yet"))</f>
        <v/>
      </c>
    </row>
    <row r="162" customFormat="false" ht="15" hidden="false" customHeight="true" outlineLevel="0" collapsed="false">
      <c r="A162" s="11"/>
      <c r="B162" s="11"/>
      <c r="C162" s="11"/>
      <c r="D162" s="11"/>
      <c r="E162" s="11"/>
      <c r="F162" s="11"/>
      <c r="G162" s="11"/>
      <c r="H162" s="11"/>
      <c r="I162" s="11"/>
      <c r="J162" s="11"/>
      <c r="K162" s="11"/>
      <c r="L162" s="11"/>
      <c r="M162" s="11"/>
      <c r="N162" s="11"/>
      <c r="O162" s="11"/>
      <c r="P162" s="11"/>
      <c r="Q162" s="7" t="str">
        <f aca="false">IF(D162="","",IF(AND(M162="Approved",N162&lt;&gt;"",O162&lt;&gt;""),"Ready","Not yet"))</f>
        <v/>
      </c>
    </row>
    <row r="163" customFormat="false" ht="15" hidden="false" customHeight="true" outlineLevel="0" collapsed="false">
      <c r="A163" s="11"/>
      <c r="B163" s="11"/>
      <c r="C163" s="11"/>
      <c r="D163" s="11"/>
      <c r="E163" s="11"/>
      <c r="F163" s="11"/>
      <c r="G163" s="11"/>
      <c r="H163" s="11"/>
      <c r="I163" s="11"/>
      <c r="J163" s="11"/>
      <c r="K163" s="11"/>
      <c r="L163" s="11"/>
      <c r="M163" s="11"/>
      <c r="N163" s="11"/>
      <c r="O163" s="11"/>
      <c r="P163" s="11"/>
      <c r="Q163" s="7" t="str">
        <f aca="false">IF(D163="","",IF(AND(M163="Approved",N163&lt;&gt;"",O163&lt;&gt;""),"Ready","Not yet"))</f>
        <v/>
      </c>
    </row>
    <row r="164" customFormat="false" ht="15" hidden="false" customHeight="true" outlineLevel="0" collapsed="false">
      <c r="A164" s="11"/>
      <c r="B164" s="11"/>
      <c r="C164" s="11"/>
      <c r="D164" s="11"/>
      <c r="E164" s="11"/>
      <c r="F164" s="11"/>
      <c r="G164" s="11"/>
      <c r="H164" s="11"/>
      <c r="I164" s="11"/>
      <c r="J164" s="11"/>
      <c r="K164" s="11"/>
      <c r="L164" s="11"/>
      <c r="M164" s="11"/>
      <c r="N164" s="11"/>
      <c r="O164" s="11"/>
      <c r="P164" s="11"/>
      <c r="Q164" s="7" t="str">
        <f aca="false">IF(D164="","",IF(AND(M164="Approved",N164&lt;&gt;"",O164&lt;&gt;""),"Ready","Not yet"))</f>
        <v/>
      </c>
    </row>
    <row r="165" customFormat="false" ht="15" hidden="false" customHeight="true" outlineLevel="0" collapsed="false">
      <c r="A165" s="11"/>
      <c r="B165" s="11"/>
      <c r="C165" s="11"/>
      <c r="D165" s="11"/>
      <c r="E165" s="11"/>
      <c r="F165" s="11"/>
      <c r="G165" s="11"/>
      <c r="H165" s="11"/>
      <c r="I165" s="11"/>
      <c r="J165" s="11"/>
      <c r="K165" s="11"/>
      <c r="L165" s="11"/>
      <c r="M165" s="11"/>
      <c r="N165" s="11"/>
      <c r="O165" s="11"/>
      <c r="P165" s="11"/>
      <c r="Q165" s="7" t="str">
        <f aca="false">IF(D165="","",IF(AND(M165="Approved",N165&lt;&gt;"",O165&lt;&gt;""),"Ready","Not yet"))</f>
        <v/>
      </c>
    </row>
    <row r="166" customFormat="false" ht="15" hidden="false" customHeight="true" outlineLevel="0" collapsed="false">
      <c r="A166" s="11"/>
      <c r="B166" s="11"/>
      <c r="C166" s="11"/>
      <c r="D166" s="11"/>
      <c r="E166" s="11"/>
      <c r="F166" s="11"/>
      <c r="G166" s="11"/>
      <c r="H166" s="11"/>
      <c r="I166" s="11"/>
      <c r="J166" s="11"/>
      <c r="K166" s="11"/>
      <c r="L166" s="11"/>
      <c r="M166" s="11"/>
      <c r="N166" s="11"/>
      <c r="O166" s="11"/>
      <c r="P166" s="11"/>
      <c r="Q166" s="7" t="str">
        <f aca="false">IF(D166="","",IF(AND(M166="Approved",N166&lt;&gt;"",O166&lt;&gt;""),"Ready","Not yet"))</f>
        <v/>
      </c>
    </row>
    <row r="167" customFormat="false" ht="15" hidden="false" customHeight="true" outlineLevel="0" collapsed="false">
      <c r="A167" s="11"/>
      <c r="B167" s="11"/>
      <c r="C167" s="11"/>
      <c r="D167" s="11"/>
      <c r="E167" s="11"/>
      <c r="F167" s="11"/>
      <c r="G167" s="11"/>
      <c r="H167" s="11"/>
      <c r="I167" s="11"/>
      <c r="J167" s="11"/>
      <c r="K167" s="11"/>
      <c r="L167" s="11"/>
      <c r="M167" s="11"/>
      <c r="N167" s="11"/>
      <c r="O167" s="11"/>
      <c r="P167" s="11"/>
      <c r="Q167" s="7" t="str">
        <f aca="false">IF(D167="","",IF(AND(M167="Approved",N167&lt;&gt;"",O167&lt;&gt;""),"Ready","Not yet"))</f>
        <v/>
      </c>
    </row>
    <row r="168" customFormat="false" ht="15" hidden="false" customHeight="true" outlineLevel="0" collapsed="false">
      <c r="A168" s="11"/>
      <c r="B168" s="11"/>
      <c r="C168" s="11"/>
      <c r="D168" s="11"/>
      <c r="E168" s="11"/>
      <c r="F168" s="11"/>
      <c r="G168" s="11"/>
      <c r="H168" s="11"/>
      <c r="I168" s="11"/>
      <c r="J168" s="11"/>
      <c r="K168" s="11"/>
      <c r="L168" s="11"/>
      <c r="M168" s="11"/>
      <c r="N168" s="11"/>
      <c r="O168" s="11"/>
      <c r="P168" s="11"/>
      <c r="Q168" s="7" t="str">
        <f aca="false">IF(D168="","",IF(AND(M168="Approved",N168&lt;&gt;"",O168&lt;&gt;""),"Ready","Not yet"))</f>
        <v/>
      </c>
    </row>
    <row r="169" customFormat="false" ht="15" hidden="false" customHeight="true" outlineLevel="0" collapsed="false">
      <c r="A169" s="11"/>
      <c r="B169" s="11"/>
      <c r="C169" s="11"/>
      <c r="D169" s="11"/>
      <c r="E169" s="11"/>
      <c r="F169" s="11"/>
      <c r="G169" s="11"/>
      <c r="H169" s="11"/>
      <c r="I169" s="11"/>
      <c r="J169" s="11"/>
      <c r="K169" s="11"/>
      <c r="L169" s="11"/>
      <c r="M169" s="11"/>
      <c r="N169" s="11"/>
      <c r="O169" s="11"/>
      <c r="P169" s="11"/>
      <c r="Q169" s="7" t="str">
        <f aca="false">IF(D169="","",IF(AND(M169="Approved",N169&lt;&gt;"",O169&lt;&gt;""),"Ready","Not yet"))</f>
        <v/>
      </c>
    </row>
    <row r="170" customFormat="false" ht="15" hidden="false" customHeight="true" outlineLevel="0" collapsed="false">
      <c r="A170" s="11"/>
      <c r="B170" s="11"/>
      <c r="C170" s="11"/>
      <c r="D170" s="11"/>
      <c r="E170" s="11"/>
      <c r="F170" s="11"/>
      <c r="G170" s="11"/>
      <c r="H170" s="11"/>
      <c r="I170" s="11"/>
      <c r="J170" s="11"/>
      <c r="K170" s="11"/>
      <c r="L170" s="11"/>
      <c r="M170" s="11"/>
      <c r="N170" s="11"/>
      <c r="O170" s="11"/>
      <c r="P170" s="11"/>
      <c r="Q170" s="7" t="str">
        <f aca="false">IF(D170="","",IF(AND(M170="Approved",N170&lt;&gt;"",O170&lt;&gt;""),"Ready","Not yet"))</f>
        <v/>
      </c>
    </row>
    <row r="171" customFormat="false" ht="15" hidden="false" customHeight="true" outlineLevel="0" collapsed="false">
      <c r="A171" s="11"/>
      <c r="B171" s="11"/>
      <c r="C171" s="11"/>
      <c r="D171" s="11"/>
      <c r="E171" s="11"/>
      <c r="F171" s="11"/>
      <c r="G171" s="11"/>
      <c r="H171" s="11"/>
      <c r="I171" s="11"/>
      <c r="J171" s="11"/>
      <c r="K171" s="11"/>
      <c r="L171" s="11"/>
      <c r="M171" s="11"/>
      <c r="N171" s="11"/>
      <c r="O171" s="11"/>
      <c r="P171" s="11"/>
      <c r="Q171" s="7" t="str">
        <f aca="false">IF(D171="","",IF(AND(M171="Approved",N171&lt;&gt;"",O171&lt;&gt;""),"Ready","Not yet"))</f>
        <v/>
      </c>
    </row>
    <row r="172" customFormat="false" ht="15" hidden="false" customHeight="true" outlineLevel="0" collapsed="false">
      <c r="A172" s="11"/>
      <c r="B172" s="11"/>
      <c r="C172" s="11"/>
      <c r="D172" s="11"/>
      <c r="E172" s="11"/>
      <c r="F172" s="11"/>
      <c r="G172" s="11"/>
      <c r="H172" s="11"/>
      <c r="I172" s="11"/>
      <c r="J172" s="11"/>
      <c r="K172" s="11"/>
      <c r="L172" s="11"/>
      <c r="M172" s="11"/>
      <c r="N172" s="11"/>
      <c r="O172" s="11"/>
      <c r="P172" s="11"/>
      <c r="Q172" s="7" t="str">
        <f aca="false">IF(D172="","",IF(AND(M172="Approved",N172&lt;&gt;"",O172&lt;&gt;""),"Ready","Not yet"))</f>
        <v/>
      </c>
    </row>
    <row r="173" customFormat="false" ht="15" hidden="false" customHeight="true" outlineLevel="0" collapsed="false">
      <c r="A173" s="11"/>
      <c r="B173" s="11"/>
      <c r="C173" s="11"/>
      <c r="D173" s="11"/>
      <c r="E173" s="11"/>
      <c r="F173" s="11"/>
      <c r="G173" s="11"/>
      <c r="H173" s="11"/>
      <c r="I173" s="11"/>
      <c r="J173" s="11"/>
      <c r="K173" s="11"/>
      <c r="L173" s="11"/>
      <c r="M173" s="11"/>
      <c r="N173" s="11"/>
      <c r="O173" s="11"/>
      <c r="P173" s="11"/>
      <c r="Q173" s="7" t="str">
        <f aca="false">IF(D173="","",IF(AND(M173="Approved",N173&lt;&gt;"",O173&lt;&gt;""),"Ready","Not yet"))</f>
        <v/>
      </c>
    </row>
    <row r="174" customFormat="false" ht="15" hidden="false" customHeight="true" outlineLevel="0" collapsed="false">
      <c r="A174" s="11"/>
      <c r="B174" s="11"/>
      <c r="C174" s="11"/>
      <c r="D174" s="11"/>
      <c r="E174" s="11"/>
      <c r="F174" s="11"/>
      <c r="G174" s="11"/>
      <c r="H174" s="11"/>
      <c r="I174" s="11"/>
      <c r="J174" s="11"/>
      <c r="K174" s="11"/>
      <c r="L174" s="11"/>
      <c r="M174" s="11"/>
      <c r="N174" s="11"/>
      <c r="O174" s="11"/>
      <c r="P174" s="11"/>
      <c r="Q174" s="7" t="str">
        <f aca="false">IF(D174="","",IF(AND(M174="Approved",N174&lt;&gt;"",O174&lt;&gt;""),"Ready","Not yet"))</f>
        <v/>
      </c>
    </row>
    <row r="175" customFormat="false" ht="15" hidden="false" customHeight="true" outlineLevel="0" collapsed="false">
      <c r="A175" s="11"/>
      <c r="B175" s="11"/>
      <c r="C175" s="11"/>
      <c r="D175" s="11"/>
      <c r="E175" s="11"/>
      <c r="F175" s="11"/>
      <c r="G175" s="11"/>
      <c r="H175" s="11"/>
      <c r="I175" s="11"/>
      <c r="J175" s="11"/>
      <c r="K175" s="11"/>
      <c r="L175" s="11"/>
      <c r="M175" s="11"/>
      <c r="N175" s="11"/>
      <c r="O175" s="11"/>
      <c r="P175" s="11"/>
      <c r="Q175" s="7" t="str">
        <f aca="false">IF(D175="","",IF(AND(M175="Approved",N175&lt;&gt;"",O175&lt;&gt;""),"Ready","Not yet"))</f>
        <v/>
      </c>
    </row>
    <row r="176" customFormat="false" ht="15" hidden="false" customHeight="true" outlineLevel="0" collapsed="false">
      <c r="A176" s="11"/>
      <c r="B176" s="11"/>
      <c r="C176" s="11"/>
      <c r="D176" s="11"/>
      <c r="E176" s="11"/>
      <c r="F176" s="11"/>
      <c r="G176" s="11"/>
      <c r="H176" s="11"/>
      <c r="I176" s="11"/>
      <c r="J176" s="11"/>
      <c r="K176" s="11"/>
      <c r="L176" s="11"/>
      <c r="M176" s="11"/>
      <c r="N176" s="11"/>
      <c r="O176" s="11"/>
      <c r="P176" s="11"/>
      <c r="Q176" s="7" t="str">
        <f aca="false">IF(D176="","",IF(AND(M176="Approved",N176&lt;&gt;"",O176&lt;&gt;""),"Ready","Not yet"))</f>
        <v/>
      </c>
    </row>
    <row r="177" customFormat="false" ht="15" hidden="false" customHeight="true" outlineLevel="0" collapsed="false">
      <c r="A177" s="11"/>
      <c r="B177" s="11"/>
      <c r="C177" s="11"/>
      <c r="D177" s="11"/>
      <c r="E177" s="11"/>
      <c r="F177" s="11"/>
      <c r="G177" s="11"/>
      <c r="H177" s="11"/>
      <c r="I177" s="11"/>
      <c r="J177" s="11"/>
      <c r="K177" s="11"/>
      <c r="L177" s="11"/>
      <c r="M177" s="11"/>
      <c r="N177" s="11"/>
      <c r="O177" s="11"/>
      <c r="P177" s="11"/>
      <c r="Q177" s="7" t="str">
        <f aca="false">IF(D177="","",IF(AND(M177="Approved",N177&lt;&gt;"",O177&lt;&gt;""),"Ready","Not yet"))</f>
        <v/>
      </c>
    </row>
    <row r="178" customFormat="false" ht="15" hidden="false" customHeight="true" outlineLevel="0" collapsed="false">
      <c r="A178" s="11"/>
      <c r="B178" s="11"/>
      <c r="C178" s="11"/>
      <c r="D178" s="11"/>
      <c r="E178" s="11"/>
      <c r="F178" s="11"/>
      <c r="G178" s="11"/>
      <c r="H178" s="11"/>
      <c r="I178" s="11"/>
      <c r="J178" s="11"/>
      <c r="K178" s="11"/>
      <c r="L178" s="11"/>
      <c r="M178" s="11"/>
      <c r="N178" s="11"/>
      <c r="O178" s="11"/>
      <c r="P178" s="11"/>
      <c r="Q178" s="7" t="str">
        <f aca="false">IF(D178="","",IF(AND(M178="Approved",N178&lt;&gt;"",O178&lt;&gt;""),"Ready","Not yet"))</f>
        <v/>
      </c>
    </row>
    <row r="179" customFormat="false" ht="15" hidden="false" customHeight="true" outlineLevel="0" collapsed="false">
      <c r="A179" s="11"/>
      <c r="B179" s="11"/>
      <c r="C179" s="11"/>
      <c r="D179" s="11"/>
      <c r="E179" s="11"/>
      <c r="F179" s="11"/>
      <c r="G179" s="11"/>
      <c r="H179" s="11"/>
      <c r="I179" s="11"/>
      <c r="J179" s="11"/>
      <c r="K179" s="11"/>
      <c r="L179" s="11"/>
      <c r="M179" s="11"/>
      <c r="N179" s="11"/>
      <c r="O179" s="11"/>
      <c r="P179" s="11"/>
      <c r="Q179" s="7" t="str">
        <f aca="false">IF(D179="","",IF(AND(M179="Approved",N179&lt;&gt;"",O179&lt;&gt;""),"Ready","Not yet"))</f>
        <v/>
      </c>
    </row>
    <row r="180" customFormat="false" ht="15" hidden="false" customHeight="true" outlineLevel="0" collapsed="false">
      <c r="A180" s="11"/>
      <c r="B180" s="11"/>
      <c r="C180" s="11"/>
      <c r="D180" s="11"/>
      <c r="E180" s="11"/>
      <c r="F180" s="11"/>
      <c r="G180" s="11"/>
      <c r="H180" s="11"/>
      <c r="I180" s="11"/>
      <c r="J180" s="11"/>
      <c r="K180" s="11"/>
      <c r="L180" s="11"/>
      <c r="M180" s="11"/>
      <c r="N180" s="11"/>
      <c r="O180" s="11"/>
      <c r="P180" s="11"/>
      <c r="Q180" s="7" t="str">
        <f aca="false">IF(D180="","",IF(AND(M180="Approved",N180&lt;&gt;"",O180&lt;&gt;""),"Ready","Not yet"))</f>
        <v/>
      </c>
    </row>
    <row r="181" customFormat="false" ht="15" hidden="false" customHeight="true" outlineLevel="0" collapsed="false">
      <c r="A181" s="11"/>
      <c r="B181" s="11"/>
      <c r="C181" s="11"/>
      <c r="D181" s="11"/>
      <c r="E181" s="11"/>
      <c r="F181" s="11"/>
      <c r="G181" s="11"/>
      <c r="H181" s="11"/>
      <c r="I181" s="11"/>
      <c r="J181" s="11"/>
      <c r="K181" s="11"/>
      <c r="L181" s="11"/>
      <c r="M181" s="11"/>
      <c r="N181" s="11"/>
      <c r="O181" s="11"/>
      <c r="P181" s="11"/>
      <c r="Q181" s="7" t="str">
        <f aca="false">IF(D181="","",IF(AND(M181="Approved",N181&lt;&gt;"",O181&lt;&gt;""),"Ready","Not yet"))</f>
        <v/>
      </c>
    </row>
    <row r="182" customFormat="false" ht="15" hidden="false" customHeight="true" outlineLevel="0" collapsed="false">
      <c r="A182" s="11"/>
      <c r="B182" s="11"/>
      <c r="C182" s="11"/>
      <c r="D182" s="11"/>
      <c r="E182" s="11"/>
      <c r="F182" s="11"/>
      <c r="G182" s="11"/>
      <c r="H182" s="11"/>
      <c r="I182" s="11"/>
      <c r="J182" s="11"/>
      <c r="K182" s="11"/>
      <c r="L182" s="11"/>
      <c r="M182" s="11"/>
      <c r="N182" s="11"/>
      <c r="O182" s="11"/>
      <c r="P182" s="11"/>
      <c r="Q182" s="7" t="str">
        <f aca="false">IF(D182="","",IF(AND(M182="Approved",N182&lt;&gt;"",O182&lt;&gt;""),"Ready","Not yet"))</f>
        <v/>
      </c>
    </row>
    <row r="183" customFormat="false" ht="15" hidden="false" customHeight="true" outlineLevel="0" collapsed="false">
      <c r="A183" s="11"/>
      <c r="B183" s="11"/>
      <c r="C183" s="11"/>
      <c r="D183" s="11"/>
      <c r="E183" s="11"/>
      <c r="F183" s="11"/>
      <c r="G183" s="11"/>
      <c r="H183" s="11"/>
      <c r="I183" s="11"/>
      <c r="J183" s="11"/>
      <c r="K183" s="11"/>
      <c r="L183" s="11"/>
      <c r="M183" s="11"/>
      <c r="N183" s="11"/>
      <c r="O183" s="11"/>
      <c r="P183" s="11"/>
      <c r="Q183" s="7" t="str">
        <f aca="false">IF(D183="","",IF(AND(M183="Approved",N183&lt;&gt;"",O183&lt;&gt;""),"Ready","Not yet"))</f>
        <v/>
      </c>
    </row>
    <row r="184" customFormat="false" ht="15" hidden="false" customHeight="true" outlineLevel="0" collapsed="false">
      <c r="A184" s="11"/>
      <c r="B184" s="11"/>
      <c r="C184" s="11"/>
      <c r="D184" s="11"/>
      <c r="E184" s="11"/>
      <c r="F184" s="11"/>
      <c r="G184" s="11"/>
      <c r="H184" s="11"/>
      <c r="I184" s="11"/>
      <c r="J184" s="11"/>
      <c r="K184" s="11"/>
      <c r="L184" s="11"/>
      <c r="M184" s="11"/>
      <c r="N184" s="11"/>
      <c r="O184" s="11"/>
      <c r="P184" s="11"/>
      <c r="Q184" s="7" t="str">
        <f aca="false">IF(D184="","",IF(AND(M184="Approved",N184&lt;&gt;"",O184&lt;&gt;""),"Ready","Not yet"))</f>
        <v/>
      </c>
    </row>
    <row r="185" customFormat="false" ht="15" hidden="false" customHeight="true" outlineLevel="0" collapsed="false">
      <c r="A185" s="11"/>
      <c r="B185" s="11"/>
      <c r="C185" s="11"/>
      <c r="D185" s="11"/>
      <c r="E185" s="11"/>
      <c r="F185" s="11"/>
      <c r="G185" s="11"/>
      <c r="H185" s="11"/>
      <c r="I185" s="11"/>
      <c r="J185" s="11"/>
      <c r="K185" s="11"/>
      <c r="L185" s="11"/>
      <c r="M185" s="11"/>
      <c r="N185" s="11"/>
      <c r="O185" s="11"/>
      <c r="P185" s="11"/>
      <c r="Q185" s="7" t="str">
        <f aca="false">IF(D185="","",IF(AND(M185="Approved",N185&lt;&gt;"",O185&lt;&gt;""),"Ready","Not yet"))</f>
        <v/>
      </c>
    </row>
    <row r="186" customFormat="false" ht="15" hidden="false" customHeight="true" outlineLevel="0" collapsed="false">
      <c r="A186" s="11"/>
      <c r="B186" s="11"/>
      <c r="C186" s="11"/>
      <c r="D186" s="11"/>
      <c r="E186" s="11"/>
      <c r="F186" s="11"/>
      <c r="G186" s="11"/>
      <c r="H186" s="11"/>
      <c r="I186" s="11"/>
      <c r="J186" s="11"/>
      <c r="K186" s="11"/>
      <c r="L186" s="11"/>
      <c r="M186" s="11"/>
      <c r="N186" s="11"/>
      <c r="O186" s="11"/>
      <c r="P186" s="11"/>
      <c r="Q186" s="7" t="str">
        <f aca="false">IF(D186="","",IF(AND(M186="Approved",N186&lt;&gt;"",O186&lt;&gt;""),"Ready","Not yet"))</f>
        <v/>
      </c>
    </row>
    <row r="187" customFormat="false" ht="15" hidden="false" customHeight="true" outlineLevel="0" collapsed="false">
      <c r="A187" s="11"/>
      <c r="B187" s="11"/>
      <c r="C187" s="11"/>
      <c r="D187" s="11"/>
      <c r="E187" s="11"/>
      <c r="F187" s="11"/>
      <c r="G187" s="11"/>
      <c r="H187" s="11"/>
      <c r="I187" s="11"/>
      <c r="J187" s="11"/>
      <c r="K187" s="11"/>
      <c r="L187" s="11"/>
      <c r="M187" s="11"/>
      <c r="N187" s="11"/>
      <c r="O187" s="11"/>
      <c r="P187" s="11"/>
      <c r="Q187" s="7" t="str">
        <f aca="false">IF(D187="","",IF(AND(M187="Approved",N187&lt;&gt;"",O187&lt;&gt;""),"Ready","Not yet"))</f>
        <v/>
      </c>
    </row>
    <row r="188" customFormat="false" ht="15" hidden="false" customHeight="true" outlineLevel="0" collapsed="false">
      <c r="A188" s="11"/>
      <c r="B188" s="11"/>
      <c r="C188" s="11"/>
      <c r="D188" s="11"/>
      <c r="E188" s="11"/>
      <c r="F188" s="11"/>
      <c r="G188" s="11"/>
      <c r="H188" s="11"/>
      <c r="I188" s="11"/>
      <c r="J188" s="11"/>
      <c r="K188" s="11"/>
      <c r="L188" s="11"/>
      <c r="M188" s="11"/>
      <c r="N188" s="11"/>
      <c r="O188" s="11"/>
      <c r="P188" s="11"/>
      <c r="Q188" s="7" t="str">
        <f aca="false">IF(D188="","",IF(AND(M188="Approved",N188&lt;&gt;"",O188&lt;&gt;""),"Ready","Not yet"))</f>
        <v/>
      </c>
    </row>
    <row r="189" customFormat="false" ht="15" hidden="false" customHeight="true" outlineLevel="0" collapsed="false">
      <c r="A189" s="11"/>
      <c r="B189" s="11"/>
      <c r="C189" s="11"/>
      <c r="D189" s="11"/>
      <c r="E189" s="11"/>
      <c r="F189" s="11"/>
      <c r="G189" s="11"/>
      <c r="H189" s="11"/>
      <c r="I189" s="11"/>
      <c r="J189" s="11"/>
      <c r="K189" s="11"/>
      <c r="L189" s="11"/>
      <c r="M189" s="11"/>
      <c r="N189" s="11"/>
      <c r="O189" s="11"/>
      <c r="P189" s="11"/>
      <c r="Q189" s="7" t="str">
        <f aca="false">IF(D189="","",IF(AND(M189="Approved",N189&lt;&gt;"",O189&lt;&gt;""),"Ready","Not yet"))</f>
        <v/>
      </c>
    </row>
    <row r="190" customFormat="false" ht="15" hidden="false" customHeight="true" outlineLevel="0" collapsed="false">
      <c r="A190" s="11"/>
      <c r="B190" s="11"/>
      <c r="C190" s="11"/>
      <c r="D190" s="11"/>
      <c r="E190" s="11"/>
      <c r="F190" s="11"/>
      <c r="G190" s="11"/>
      <c r="H190" s="11"/>
      <c r="I190" s="11"/>
      <c r="J190" s="11"/>
      <c r="K190" s="11"/>
      <c r="L190" s="11"/>
      <c r="M190" s="11"/>
      <c r="N190" s="11"/>
      <c r="O190" s="11"/>
      <c r="P190" s="11"/>
      <c r="Q190" s="7" t="str">
        <f aca="false">IF(D190="","",IF(AND(M190="Approved",N190&lt;&gt;"",O190&lt;&gt;""),"Ready","Not yet"))</f>
        <v/>
      </c>
    </row>
    <row r="191" customFormat="false" ht="15" hidden="false" customHeight="true" outlineLevel="0" collapsed="false">
      <c r="A191" s="11"/>
      <c r="B191" s="11"/>
      <c r="C191" s="11"/>
      <c r="D191" s="11"/>
      <c r="E191" s="11"/>
      <c r="F191" s="11"/>
      <c r="G191" s="11"/>
      <c r="H191" s="11"/>
      <c r="I191" s="11"/>
      <c r="J191" s="11"/>
      <c r="K191" s="11"/>
      <c r="L191" s="11"/>
      <c r="M191" s="11"/>
      <c r="N191" s="11"/>
      <c r="O191" s="11"/>
      <c r="P191" s="11"/>
      <c r="Q191" s="7" t="str">
        <f aca="false">IF(D191="","",IF(AND(M191="Approved",N191&lt;&gt;"",O191&lt;&gt;""),"Ready","Not yet"))</f>
        <v/>
      </c>
    </row>
    <row r="192" customFormat="false" ht="15" hidden="false" customHeight="true" outlineLevel="0" collapsed="false">
      <c r="A192" s="11"/>
      <c r="B192" s="11"/>
      <c r="C192" s="11"/>
      <c r="D192" s="11"/>
      <c r="E192" s="11"/>
      <c r="F192" s="11"/>
      <c r="G192" s="11"/>
      <c r="H192" s="11"/>
      <c r="I192" s="11"/>
      <c r="J192" s="11"/>
      <c r="K192" s="11"/>
      <c r="L192" s="11"/>
      <c r="M192" s="11"/>
      <c r="N192" s="11"/>
      <c r="O192" s="11"/>
      <c r="P192" s="11"/>
      <c r="Q192" s="7" t="str">
        <f aca="false">IF(D192="","",IF(AND(M192="Approved",N192&lt;&gt;"",O192&lt;&gt;""),"Ready","Not yet"))</f>
        <v/>
      </c>
    </row>
    <row r="193" customFormat="false" ht="15" hidden="false" customHeight="true" outlineLevel="0" collapsed="false">
      <c r="A193" s="11"/>
      <c r="B193" s="11"/>
      <c r="C193" s="11"/>
      <c r="D193" s="11"/>
      <c r="E193" s="11"/>
      <c r="F193" s="11"/>
      <c r="G193" s="11"/>
      <c r="H193" s="11"/>
      <c r="I193" s="11"/>
      <c r="J193" s="11"/>
      <c r="K193" s="11"/>
      <c r="L193" s="11"/>
      <c r="M193" s="11"/>
      <c r="N193" s="11"/>
      <c r="O193" s="11"/>
      <c r="P193" s="11"/>
      <c r="Q193" s="7" t="str">
        <f aca="false">IF(D193="","",IF(AND(M193="Approved",N193&lt;&gt;"",O193&lt;&gt;""),"Ready","Not yet"))</f>
        <v/>
      </c>
    </row>
    <row r="194" customFormat="false" ht="15" hidden="false" customHeight="true" outlineLevel="0" collapsed="false">
      <c r="A194" s="11"/>
      <c r="B194" s="11"/>
      <c r="C194" s="11"/>
      <c r="D194" s="11"/>
      <c r="E194" s="11"/>
      <c r="F194" s="11"/>
      <c r="G194" s="11"/>
      <c r="H194" s="11"/>
      <c r="I194" s="11"/>
      <c r="J194" s="11"/>
      <c r="K194" s="11"/>
      <c r="L194" s="11"/>
      <c r="M194" s="11"/>
      <c r="N194" s="11"/>
      <c r="O194" s="11"/>
      <c r="P194" s="11"/>
      <c r="Q194" s="7" t="str">
        <f aca="false">IF(D194="","",IF(AND(M194="Approved",N194&lt;&gt;"",O194&lt;&gt;""),"Ready","Not yet"))</f>
        <v/>
      </c>
    </row>
    <row r="195" customFormat="false" ht="15" hidden="false" customHeight="true" outlineLevel="0" collapsed="false">
      <c r="A195" s="11"/>
      <c r="B195" s="11"/>
      <c r="C195" s="11"/>
      <c r="D195" s="11"/>
      <c r="E195" s="11"/>
      <c r="F195" s="11"/>
      <c r="G195" s="11"/>
      <c r="H195" s="11"/>
      <c r="I195" s="11"/>
      <c r="J195" s="11"/>
      <c r="K195" s="11"/>
      <c r="L195" s="11"/>
      <c r="M195" s="11"/>
      <c r="N195" s="11"/>
      <c r="O195" s="11"/>
      <c r="P195" s="11"/>
      <c r="Q195" s="7" t="str">
        <f aca="false">IF(D195="","",IF(AND(M195="Approved",N195&lt;&gt;"",O195&lt;&gt;""),"Ready","Not yet"))</f>
        <v/>
      </c>
    </row>
    <row r="196" customFormat="false" ht="15" hidden="false" customHeight="true" outlineLevel="0" collapsed="false">
      <c r="A196" s="11"/>
      <c r="B196" s="11"/>
      <c r="C196" s="11"/>
      <c r="D196" s="11"/>
      <c r="E196" s="11"/>
      <c r="F196" s="11"/>
      <c r="G196" s="11"/>
      <c r="H196" s="11"/>
      <c r="I196" s="11"/>
      <c r="J196" s="11"/>
      <c r="K196" s="11"/>
      <c r="L196" s="11"/>
      <c r="M196" s="11"/>
      <c r="N196" s="11"/>
      <c r="O196" s="11"/>
      <c r="P196" s="11"/>
      <c r="Q196" s="7" t="str">
        <f aca="false">IF(D196="","",IF(AND(M196="Approved",N196&lt;&gt;"",O196&lt;&gt;""),"Ready","Not yet"))</f>
        <v/>
      </c>
    </row>
    <row r="197" customFormat="false" ht="15" hidden="false" customHeight="true" outlineLevel="0" collapsed="false">
      <c r="A197" s="11"/>
      <c r="B197" s="11"/>
      <c r="C197" s="11"/>
      <c r="D197" s="11"/>
      <c r="E197" s="11"/>
      <c r="F197" s="11"/>
      <c r="G197" s="11"/>
      <c r="H197" s="11"/>
      <c r="I197" s="11"/>
      <c r="J197" s="11"/>
      <c r="K197" s="11"/>
      <c r="L197" s="11"/>
      <c r="M197" s="11"/>
      <c r="N197" s="11"/>
      <c r="O197" s="11"/>
      <c r="P197" s="11"/>
      <c r="Q197" s="7" t="str">
        <f aca="false">IF(D197="","",IF(AND(M197="Approved",N197&lt;&gt;"",O197&lt;&gt;""),"Ready","Not yet"))</f>
        <v/>
      </c>
    </row>
    <row r="198" customFormat="false" ht="15" hidden="false" customHeight="true" outlineLevel="0" collapsed="false">
      <c r="A198" s="11"/>
      <c r="B198" s="11"/>
      <c r="C198" s="11"/>
      <c r="D198" s="11"/>
      <c r="E198" s="11"/>
      <c r="F198" s="11"/>
      <c r="G198" s="11"/>
      <c r="H198" s="11"/>
      <c r="I198" s="11"/>
      <c r="J198" s="11"/>
      <c r="K198" s="11"/>
      <c r="L198" s="11"/>
      <c r="M198" s="11"/>
      <c r="N198" s="11"/>
      <c r="O198" s="11"/>
      <c r="P198" s="11"/>
      <c r="Q198" s="7" t="str">
        <f aca="false">IF(D198="","",IF(AND(M198="Approved",N198&lt;&gt;"",O198&lt;&gt;""),"Ready","Not yet"))</f>
        <v/>
      </c>
    </row>
    <row r="199" customFormat="false" ht="15" hidden="false" customHeight="true" outlineLevel="0" collapsed="false">
      <c r="A199" s="11"/>
      <c r="B199" s="11"/>
      <c r="C199" s="11"/>
      <c r="D199" s="11"/>
      <c r="E199" s="11"/>
      <c r="F199" s="11"/>
      <c r="G199" s="11"/>
      <c r="H199" s="11"/>
      <c r="I199" s="11"/>
      <c r="J199" s="11"/>
      <c r="K199" s="11"/>
      <c r="L199" s="11"/>
      <c r="M199" s="11"/>
      <c r="N199" s="11"/>
      <c r="O199" s="11"/>
      <c r="P199" s="11"/>
      <c r="Q199" s="7" t="str">
        <f aca="false">IF(D199="","",IF(AND(M199="Approved",N199&lt;&gt;"",O199&lt;&gt;""),"Ready","Not yet"))</f>
        <v/>
      </c>
    </row>
    <row r="200" customFormat="false" ht="15" hidden="false" customHeight="true" outlineLevel="0" collapsed="false">
      <c r="A200" s="11"/>
      <c r="B200" s="11"/>
      <c r="C200" s="11"/>
      <c r="D200" s="11"/>
      <c r="E200" s="11"/>
      <c r="F200" s="11"/>
      <c r="G200" s="11"/>
      <c r="H200" s="11"/>
      <c r="I200" s="11"/>
      <c r="J200" s="11"/>
      <c r="K200" s="11"/>
      <c r="L200" s="11"/>
      <c r="M200" s="11"/>
      <c r="N200" s="11"/>
      <c r="O200" s="11"/>
      <c r="P200" s="11"/>
      <c r="Q200" s="7" t="str">
        <f aca="false">IF(D200="","",IF(AND(M200="Approved",N200&lt;&gt;"",O200&lt;&gt;""),"Ready","Not yet"))</f>
        <v/>
      </c>
    </row>
    <row r="201" customFormat="false" ht="15" hidden="false" customHeight="true" outlineLevel="0" collapsed="false">
      <c r="A201" s="11"/>
      <c r="B201" s="11"/>
      <c r="C201" s="11"/>
      <c r="D201" s="11"/>
      <c r="E201" s="11"/>
      <c r="F201" s="11"/>
      <c r="G201" s="11"/>
      <c r="H201" s="11"/>
      <c r="I201" s="11"/>
      <c r="J201" s="11"/>
      <c r="K201" s="11"/>
      <c r="L201" s="11"/>
      <c r="M201" s="11"/>
      <c r="N201" s="11"/>
      <c r="O201" s="11"/>
      <c r="P201" s="11"/>
      <c r="Q201" s="7" t="str">
        <f aca="false">IF(D201="","",IF(AND(M201="Approved",N201&lt;&gt;"",O201&lt;&gt;""),"Ready","Not yet"))</f>
        <v/>
      </c>
    </row>
  </sheetData>
  <autoFilter ref="A1:Q201"/>
  <dataValidations count="1">
    <dataValidation allowBlank="true" errorStyle="stop" operator="between" showDropDown="false" showErrorMessage="false" showInputMessage="false" sqref="M2:M201" type="list">
      <formula1>Lists!$E$2:$E$6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34"/>
    <col collapsed="false" customWidth="true" hidden="false" outlineLevel="0" max="3" min="3" style="1" width="50"/>
    <col collapsed="false" customWidth="true" hidden="false" outlineLevel="0" max="4" min="4" style="1" width="16"/>
    <col collapsed="false" customWidth="true" hidden="false" outlineLevel="0" max="5" min="5" style="1" width="14"/>
    <col collapsed="false" customWidth="true" hidden="false" outlineLevel="0" max="6" min="6" style="1" width="13"/>
    <col collapsed="false" customWidth="true" hidden="false" outlineLevel="0" max="7" min="7" style="1" width="14"/>
    <col collapsed="false" customWidth="true" hidden="false" outlineLevel="0" max="8" min="8" style="1" width="13"/>
    <col collapsed="false" customWidth="true" hidden="false" outlineLevel="0" max="9" min="9" style="1" width="26"/>
    <col collapsed="false" customWidth="true" hidden="false" outlineLevel="0" max="10" min="10" style="1" width="13"/>
  </cols>
  <sheetData>
    <row r="1" customFormat="false" ht="30" hidden="false" customHeight="true" outlineLevel="0" collapsed="false">
      <c r="A1" s="10" t="s">
        <v>1325</v>
      </c>
      <c r="B1" s="10" t="s">
        <v>1326</v>
      </c>
      <c r="C1" s="10" t="s">
        <v>42</v>
      </c>
      <c r="D1" s="10" t="s">
        <v>387</v>
      </c>
      <c r="E1" s="10" t="s">
        <v>46</v>
      </c>
      <c r="F1" s="10" t="s">
        <v>47</v>
      </c>
      <c r="G1" s="10" t="s">
        <v>48</v>
      </c>
      <c r="H1" s="10" t="s">
        <v>49</v>
      </c>
      <c r="I1" s="10" t="s">
        <v>50</v>
      </c>
      <c r="J1" s="10" t="s">
        <v>51</v>
      </c>
    </row>
    <row r="2" customFormat="false" ht="15" hidden="false" customHeight="true" outlineLevel="0" collapsed="false">
      <c r="A2" s="11" t="s">
        <v>446</v>
      </c>
      <c r="B2" s="11" t="s">
        <v>448</v>
      </c>
      <c r="C2" s="11" t="s">
        <v>449</v>
      </c>
      <c r="D2" s="11" t="s">
        <v>451</v>
      </c>
      <c r="E2" s="11" t="s">
        <v>59</v>
      </c>
      <c r="F2" s="11" t="s">
        <v>60</v>
      </c>
      <c r="G2" s="11"/>
      <c r="H2" s="11"/>
      <c r="I2" s="11"/>
      <c r="J2" s="7" t="str">
        <f aca="false">IF(A2="","",IF(AND(F2="Approved",G2&lt;&gt;"",H2&lt;&gt;""),"Ready","Not yet"))</f>
        <v>Not yet</v>
      </c>
    </row>
    <row r="3" customFormat="false" ht="15" hidden="false" customHeight="true" outlineLevel="0" collapsed="false">
      <c r="A3" s="11" t="s">
        <v>1327</v>
      </c>
      <c r="B3" s="11" t="s">
        <v>1328</v>
      </c>
      <c r="C3" s="11" t="s">
        <v>1329</v>
      </c>
      <c r="D3" s="11" t="s">
        <v>451</v>
      </c>
      <c r="E3" s="11" t="s">
        <v>59</v>
      </c>
      <c r="F3" s="11" t="s">
        <v>60</v>
      </c>
      <c r="G3" s="11"/>
      <c r="H3" s="11"/>
      <c r="I3" s="11"/>
      <c r="J3" s="7" t="str">
        <f aca="false">IF(A3="","",IF(AND(F3="Approved",G3&lt;&gt;"",H3&lt;&gt;""),"Ready","Not yet"))</f>
        <v>Not yet</v>
      </c>
    </row>
    <row r="4" customFormat="false" ht="15" hidden="false" customHeight="true" outlineLevel="0" collapsed="false">
      <c r="A4" s="11" t="s">
        <v>1330</v>
      </c>
      <c r="B4" s="11" t="s">
        <v>1331</v>
      </c>
      <c r="C4" s="11" t="s">
        <v>1332</v>
      </c>
      <c r="D4" s="11" t="s">
        <v>451</v>
      </c>
      <c r="E4" s="11" t="s">
        <v>59</v>
      </c>
      <c r="F4" s="11" t="s">
        <v>60</v>
      </c>
      <c r="G4" s="11"/>
      <c r="H4" s="11"/>
      <c r="I4" s="11"/>
      <c r="J4" s="7" t="str">
        <f aca="false">IF(A4="","",IF(AND(F4="Approved",G4&lt;&gt;"",H4&lt;&gt;""),"Ready","Not yet"))</f>
        <v>Not yet</v>
      </c>
    </row>
    <row r="5" customFormat="false" ht="15" hidden="false" customHeight="true" outlineLevel="0" collapsed="false">
      <c r="A5" s="11" t="s">
        <v>1333</v>
      </c>
      <c r="B5" s="11" t="s">
        <v>1334</v>
      </c>
      <c r="C5" s="11" t="s">
        <v>1335</v>
      </c>
      <c r="D5" s="11" t="s">
        <v>498</v>
      </c>
      <c r="E5" s="11" t="s">
        <v>59</v>
      </c>
      <c r="F5" s="11" t="s">
        <v>60</v>
      </c>
      <c r="G5" s="11"/>
      <c r="H5" s="11"/>
      <c r="I5" s="11"/>
      <c r="J5" s="7" t="str">
        <f aca="false">IF(A5="","",IF(AND(F5="Approved",G5&lt;&gt;"",H5&lt;&gt;""),"Ready","Not yet"))</f>
        <v>Not yet</v>
      </c>
    </row>
    <row r="6" customFormat="false" ht="15" hidden="false" customHeight="true" outlineLevel="0" collapsed="false">
      <c r="A6" s="11" t="s">
        <v>1336</v>
      </c>
      <c r="B6" s="11" t="s">
        <v>1337</v>
      </c>
      <c r="C6" s="11" t="s">
        <v>1338</v>
      </c>
      <c r="D6" s="11" t="s">
        <v>550</v>
      </c>
      <c r="E6" s="11" t="s">
        <v>59</v>
      </c>
      <c r="F6" s="11" t="s">
        <v>60</v>
      </c>
      <c r="G6" s="11"/>
      <c r="H6" s="11"/>
      <c r="I6" s="11"/>
      <c r="J6" s="7" t="str">
        <f aca="false">IF(A6="","",IF(AND(F6="Approved",G6&lt;&gt;"",H6&lt;&gt;""),"Ready","Not yet"))</f>
        <v>Not yet</v>
      </c>
    </row>
    <row r="7" customFormat="false" ht="15" hidden="false" customHeight="true" outlineLevel="0" collapsed="false">
      <c r="A7" s="11" t="s">
        <v>390</v>
      </c>
      <c r="B7" s="11" t="s">
        <v>392</v>
      </c>
      <c r="C7" s="11" t="s">
        <v>1339</v>
      </c>
      <c r="D7" s="11" t="s">
        <v>377</v>
      </c>
      <c r="E7" s="11" t="s">
        <v>59</v>
      </c>
      <c r="F7" s="11" t="s">
        <v>60</v>
      </c>
      <c r="G7" s="11"/>
      <c r="H7" s="11"/>
      <c r="I7" s="11"/>
      <c r="J7" s="7" t="str">
        <f aca="false">IF(A7="","",IF(AND(F7="Approved",G7&lt;&gt;"",H7&lt;&gt;""),"Ready","Not yet"))</f>
        <v>Not yet</v>
      </c>
    </row>
    <row r="8" customFormat="false" ht="15" hidden="false" customHeight="true" outlineLevel="0" collapsed="false">
      <c r="A8" s="11" t="s">
        <v>1340</v>
      </c>
      <c r="B8" s="11" t="s">
        <v>1341</v>
      </c>
      <c r="C8" s="11" t="s">
        <v>1342</v>
      </c>
      <c r="D8" s="11" t="s">
        <v>487</v>
      </c>
      <c r="E8" s="11" t="s">
        <v>59</v>
      </c>
      <c r="F8" s="11" t="s">
        <v>60</v>
      </c>
      <c r="G8" s="11"/>
      <c r="H8" s="11"/>
      <c r="I8" s="11"/>
      <c r="J8" s="7" t="str">
        <f aca="false">IF(A8="","",IF(AND(F8="Approved",G8&lt;&gt;"",H8&lt;&gt;""),"Ready","Not yet"))</f>
        <v>Not yet</v>
      </c>
    </row>
    <row r="9" customFormat="false" ht="15" hidden="false" customHeight="true" outlineLevel="0" collapsed="false">
      <c r="A9" s="11" t="s">
        <v>396</v>
      </c>
      <c r="B9" s="11" t="s">
        <v>398</v>
      </c>
      <c r="C9" s="11" t="s">
        <v>399</v>
      </c>
      <c r="D9" s="11" t="s">
        <v>377</v>
      </c>
      <c r="E9" s="11" t="s">
        <v>59</v>
      </c>
      <c r="F9" s="11" t="s">
        <v>60</v>
      </c>
      <c r="G9" s="11"/>
      <c r="H9" s="11"/>
      <c r="I9" s="11"/>
      <c r="J9" s="7" t="str">
        <f aca="false">IF(A9="","",IF(AND(F9="Approved",G9&lt;&gt;"",H9&lt;&gt;""),"Ready","Not yet"))</f>
        <v>Not yet</v>
      </c>
    </row>
    <row r="10" customFormat="false" ht="15" hidden="false" customHeight="true" outlineLevel="0" collapsed="false">
      <c r="A10" s="11" t="s">
        <v>488</v>
      </c>
      <c r="B10" s="11" t="s">
        <v>490</v>
      </c>
      <c r="C10" s="11" t="s">
        <v>491</v>
      </c>
      <c r="D10" s="11" t="s">
        <v>487</v>
      </c>
      <c r="E10" s="11" t="s">
        <v>59</v>
      </c>
      <c r="F10" s="11" t="s">
        <v>60</v>
      </c>
      <c r="G10" s="11"/>
      <c r="H10" s="11"/>
      <c r="I10" s="11"/>
      <c r="J10" s="7" t="str">
        <f aca="false">IF(A10="","",IF(AND(F10="Approved",G10&lt;&gt;"",H10&lt;&gt;""),"Ready","Not yet"))</f>
        <v>Not yet</v>
      </c>
    </row>
    <row r="11" customFormat="false" ht="15" hidden="false" customHeight="true" outlineLevel="0" collapsed="false">
      <c r="A11" s="11" t="s">
        <v>1343</v>
      </c>
      <c r="B11" s="11" t="s">
        <v>1344</v>
      </c>
      <c r="C11" s="11" t="s">
        <v>1345</v>
      </c>
      <c r="D11" s="11" t="s">
        <v>451</v>
      </c>
      <c r="E11" s="11" t="s">
        <v>59</v>
      </c>
      <c r="F11" s="11" t="s">
        <v>60</v>
      </c>
      <c r="G11" s="11"/>
      <c r="H11" s="11"/>
      <c r="I11" s="11"/>
      <c r="J11" s="7" t="str">
        <f aca="false">IF(A11="","",IF(AND(F11="Approved",G11&lt;&gt;"",H11&lt;&gt;""),"Ready","Not yet"))</f>
        <v>Not yet</v>
      </c>
    </row>
    <row r="12" customFormat="false" ht="15" hidden="false" customHeight="true" outlineLevel="0" collapsed="false">
      <c r="A12" s="11" t="s">
        <v>1346</v>
      </c>
      <c r="B12" s="11" t="s">
        <v>1347</v>
      </c>
      <c r="C12" s="11" t="s">
        <v>1348</v>
      </c>
      <c r="D12" s="11" t="s">
        <v>498</v>
      </c>
      <c r="E12" s="11" t="s">
        <v>59</v>
      </c>
      <c r="F12" s="11" t="s">
        <v>60</v>
      </c>
      <c r="G12" s="11"/>
      <c r="H12" s="11"/>
      <c r="I12" s="11"/>
      <c r="J12" s="7" t="str">
        <f aca="false">IF(A12="","",IF(AND(F12="Approved",G12&lt;&gt;"",H12&lt;&gt;""),"Ready","Not yet"))</f>
        <v>Not yet</v>
      </c>
    </row>
    <row r="13" customFormat="false" ht="15" hidden="false" customHeight="true" outlineLevel="0" collapsed="false">
      <c r="A13" s="11" t="s">
        <v>1349</v>
      </c>
      <c r="B13" s="11" t="s">
        <v>1350</v>
      </c>
      <c r="C13" s="11" t="s">
        <v>1351</v>
      </c>
      <c r="D13" s="11" t="s">
        <v>529</v>
      </c>
      <c r="E13" s="11" t="s">
        <v>59</v>
      </c>
      <c r="F13" s="11" t="s">
        <v>60</v>
      </c>
      <c r="G13" s="11"/>
      <c r="H13" s="11"/>
      <c r="I13" s="11"/>
      <c r="J13" s="7" t="str">
        <f aca="false">IF(A13="","",IF(AND(F13="Approved",G13&lt;&gt;"",H13&lt;&gt;""),"Ready","Not yet"))</f>
        <v>Not yet</v>
      </c>
    </row>
    <row r="14" customFormat="false" ht="15" hidden="false" customHeight="true" outlineLevel="0" collapsed="false">
      <c r="A14" s="11" t="s">
        <v>482</v>
      </c>
      <c r="B14" s="11" t="s">
        <v>484</v>
      </c>
      <c r="C14" s="11" t="s">
        <v>485</v>
      </c>
      <c r="D14" s="11" t="s">
        <v>487</v>
      </c>
      <c r="E14" s="11" t="s">
        <v>59</v>
      </c>
      <c r="F14" s="11" t="s">
        <v>60</v>
      </c>
      <c r="G14" s="11"/>
      <c r="H14" s="11"/>
      <c r="I14" s="11"/>
      <c r="J14" s="7" t="str">
        <f aca="false">IF(A14="","",IF(AND(F14="Approved",G14&lt;&gt;"",H14&lt;&gt;""),"Ready","Not yet"))</f>
        <v>Not yet</v>
      </c>
    </row>
    <row r="15" customFormat="false" ht="15" hidden="false" customHeight="true" outlineLevel="0" collapsed="false">
      <c r="A15" s="11" t="s">
        <v>1044</v>
      </c>
      <c r="B15" s="11" t="s">
        <v>1352</v>
      </c>
      <c r="C15" s="11" t="s">
        <v>1048</v>
      </c>
      <c r="D15" s="11" t="s">
        <v>529</v>
      </c>
      <c r="E15" s="11" t="s">
        <v>59</v>
      </c>
      <c r="F15" s="11" t="s">
        <v>60</v>
      </c>
      <c r="G15" s="11"/>
      <c r="H15" s="11"/>
      <c r="I15" s="11"/>
      <c r="J15" s="7" t="str">
        <f aca="false">IF(A15="","",IF(AND(F15="Approved",G15&lt;&gt;"",H15&lt;&gt;""),"Ready","Not yet"))</f>
        <v>Not yet</v>
      </c>
    </row>
    <row r="16" customFormat="false" ht="15" hidden="false" customHeight="true" outlineLevel="0" collapsed="false">
      <c r="A16" s="11" t="s">
        <v>1353</v>
      </c>
      <c r="B16" s="11" t="s">
        <v>1354</v>
      </c>
      <c r="C16" s="11" t="s">
        <v>1355</v>
      </c>
      <c r="D16" s="11" t="s">
        <v>377</v>
      </c>
      <c r="E16" s="11" t="s">
        <v>59</v>
      </c>
      <c r="F16" s="11" t="s">
        <v>60</v>
      </c>
      <c r="G16" s="11"/>
      <c r="H16" s="11"/>
      <c r="I16" s="11"/>
      <c r="J16" s="7" t="str">
        <f aca="false">IF(A16="","",IF(AND(F16="Approved",G16&lt;&gt;"",H16&lt;&gt;""),"Ready","Not yet"))</f>
        <v>Not yet</v>
      </c>
    </row>
    <row r="17" customFormat="false" ht="15" hidden="false" customHeight="true" outlineLevel="0" collapsed="false">
      <c r="A17" s="11" t="s">
        <v>1356</v>
      </c>
      <c r="B17" s="11" t="s">
        <v>1357</v>
      </c>
      <c r="C17" s="11" t="s">
        <v>1358</v>
      </c>
      <c r="D17" s="11" t="s">
        <v>550</v>
      </c>
      <c r="E17" s="11" t="s">
        <v>59</v>
      </c>
      <c r="F17" s="11" t="s">
        <v>60</v>
      </c>
      <c r="G17" s="11"/>
      <c r="H17" s="11"/>
      <c r="I17" s="11"/>
      <c r="J17" s="7" t="str">
        <f aca="false">IF(A17="","",IF(AND(F17="Approved",G17&lt;&gt;"",H17&lt;&gt;""),"Ready","Not yet"))</f>
        <v>Not yet</v>
      </c>
    </row>
    <row r="18" customFormat="false" ht="15" hidden="false" customHeight="true" outlineLevel="0" collapsed="false">
      <c r="A18" s="11" t="s">
        <v>1359</v>
      </c>
      <c r="B18" s="11" t="s">
        <v>1360</v>
      </c>
      <c r="C18" s="11" t="s">
        <v>1361</v>
      </c>
      <c r="D18" s="11" t="s">
        <v>550</v>
      </c>
      <c r="E18" s="11" t="s">
        <v>59</v>
      </c>
      <c r="F18" s="11" t="s">
        <v>60</v>
      </c>
      <c r="G18" s="11"/>
      <c r="H18" s="11"/>
      <c r="I18" s="11"/>
      <c r="J18" s="7" t="str">
        <f aca="false">IF(A18="","",IF(AND(F18="Approved",G18&lt;&gt;"",H18&lt;&gt;""),"Ready","Not yet"))</f>
        <v>Not yet</v>
      </c>
    </row>
    <row r="19" customFormat="false" ht="15" hidden="false" customHeight="true" outlineLevel="0" collapsed="false">
      <c r="A19" s="11" t="s">
        <v>1362</v>
      </c>
      <c r="B19" s="11" t="s">
        <v>1363</v>
      </c>
      <c r="C19" s="11" t="s">
        <v>1364</v>
      </c>
      <c r="D19" s="11" t="s">
        <v>487</v>
      </c>
      <c r="E19" s="11" t="s">
        <v>59</v>
      </c>
      <c r="F19" s="11" t="s">
        <v>60</v>
      </c>
      <c r="G19" s="11"/>
      <c r="H19" s="11"/>
      <c r="I19" s="11"/>
      <c r="J19" s="7" t="str">
        <f aca="false">IF(A19="","",IF(AND(F19="Approved",G19&lt;&gt;"",H19&lt;&gt;""),"Ready","Not yet"))</f>
        <v>Not yet</v>
      </c>
    </row>
    <row r="20" customFormat="false" ht="15" hidden="false" customHeight="true" outlineLevel="0" collapsed="false">
      <c r="A20" s="11" t="s">
        <v>1365</v>
      </c>
      <c r="B20" s="11" t="s">
        <v>1366</v>
      </c>
      <c r="C20" s="11" t="s">
        <v>1367</v>
      </c>
      <c r="D20" s="11" t="s">
        <v>451</v>
      </c>
      <c r="E20" s="11" t="s">
        <v>59</v>
      </c>
      <c r="F20" s="11" t="s">
        <v>60</v>
      </c>
      <c r="G20" s="11"/>
      <c r="H20" s="11"/>
      <c r="I20" s="11"/>
      <c r="J20" s="7" t="str">
        <f aca="false">IF(A20="","",IF(AND(F20="Approved",G20&lt;&gt;"",H20&lt;&gt;""),"Ready","Not yet"))</f>
        <v>Not yet</v>
      </c>
    </row>
    <row r="21" customFormat="false" ht="15" hidden="false" customHeight="true" outlineLevel="0" collapsed="false">
      <c r="A21" s="11" t="s">
        <v>519</v>
      </c>
      <c r="B21" s="11" t="s">
        <v>521</v>
      </c>
      <c r="C21" s="11" t="s">
        <v>522</v>
      </c>
      <c r="D21" s="11" t="s">
        <v>498</v>
      </c>
      <c r="E21" s="11" t="s">
        <v>59</v>
      </c>
      <c r="F21" s="11" t="s">
        <v>60</v>
      </c>
      <c r="G21" s="11"/>
      <c r="H21" s="11"/>
      <c r="I21" s="11"/>
      <c r="J21" s="7" t="str">
        <f aca="false">IF(A21="","",IF(AND(F21="Approved",G21&lt;&gt;"",H21&lt;&gt;""),"Ready","Not yet"))</f>
        <v>Not yet</v>
      </c>
    </row>
    <row r="22" customFormat="false" ht="15" hidden="false" customHeight="true" outlineLevel="0" collapsed="false">
      <c r="A22" s="11" t="s">
        <v>1368</v>
      </c>
      <c r="B22" s="11" t="s">
        <v>1369</v>
      </c>
      <c r="C22" s="11" t="s">
        <v>1370</v>
      </c>
      <c r="D22" s="11" t="s">
        <v>377</v>
      </c>
      <c r="E22" s="11" t="s">
        <v>59</v>
      </c>
      <c r="F22" s="11" t="s">
        <v>60</v>
      </c>
      <c r="G22" s="11"/>
      <c r="H22" s="11"/>
      <c r="I22" s="11"/>
      <c r="J22" s="7" t="str">
        <f aca="false">IF(A22="","",IF(AND(F22="Approved",G22&lt;&gt;"",H22&lt;&gt;""),"Ready","Not yet"))</f>
        <v>Not yet</v>
      </c>
    </row>
    <row r="23" customFormat="false" ht="15" hidden="false" customHeight="true" outlineLevel="0" collapsed="false">
      <c r="A23" s="11" t="s">
        <v>1371</v>
      </c>
      <c r="B23" s="11" t="s">
        <v>1372</v>
      </c>
      <c r="C23" s="11" t="s">
        <v>1373</v>
      </c>
      <c r="D23" s="11" t="s">
        <v>451</v>
      </c>
      <c r="E23" s="11" t="s">
        <v>59</v>
      </c>
      <c r="F23" s="11" t="s">
        <v>60</v>
      </c>
      <c r="G23" s="11"/>
      <c r="H23" s="11"/>
      <c r="I23" s="11"/>
      <c r="J23" s="7" t="str">
        <f aca="false">IF(A23="","",IF(AND(F23="Approved",G23&lt;&gt;"",H23&lt;&gt;""),"Ready","Not yet"))</f>
        <v>Not yet</v>
      </c>
    </row>
    <row r="24" customFormat="false" ht="15" hidden="false" customHeight="true" outlineLevel="0" collapsed="false">
      <c r="A24" s="11" t="s">
        <v>1374</v>
      </c>
      <c r="B24" s="11" t="s">
        <v>1375</v>
      </c>
      <c r="C24" s="11" t="s">
        <v>1376</v>
      </c>
      <c r="D24" s="11" t="s">
        <v>377</v>
      </c>
      <c r="E24" s="11" t="s">
        <v>59</v>
      </c>
      <c r="F24" s="11" t="s">
        <v>60</v>
      </c>
      <c r="G24" s="11"/>
      <c r="H24" s="11"/>
      <c r="I24" s="11"/>
      <c r="J24" s="7" t="str">
        <f aca="false">IF(A24="","",IF(AND(F24="Approved",G24&lt;&gt;"",H24&lt;&gt;""),"Ready","Not yet"))</f>
        <v>Not yet</v>
      </c>
    </row>
    <row r="25" customFormat="false" ht="15" hidden="false" customHeight="true" outlineLevel="0" collapsed="false">
      <c r="A25" s="11" t="s">
        <v>1377</v>
      </c>
      <c r="B25" s="11" t="s">
        <v>1378</v>
      </c>
      <c r="C25" s="11" t="s">
        <v>1379</v>
      </c>
      <c r="D25" s="11" t="s">
        <v>451</v>
      </c>
      <c r="E25" s="11" t="s">
        <v>59</v>
      </c>
      <c r="F25" s="11" t="s">
        <v>60</v>
      </c>
      <c r="G25" s="11"/>
      <c r="H25" s="11"/>
      <c r="I25" s="11"/>
      <c r="J25" s="7" t="str">
        <f aca="false">IF(A25="","",IF(AND(F25="Approved",G25&lt;&gt;"",H25&lt;&gt;""),"Ready","Not yet"))</f>
        <v>Not yet</v>
      </c>
    </row>
    <row r="26" customFormat="false" ht="15" hidden="false" customHeight="true" outlineLevel="0" collapsed="false">
      <c r="A26" s="11" t="s">
        <v>690</v>
      </c>
      <c r="B26" s="11" t="s">
        <v>692</v>
      </c>
      <c r="C26" s="11" t="s">
        <v>1380</v>
      </c>
      <c r="D26" s="11" t="s">
        <v>377</v>
      </c>
      <c r="E26" s="11" t="s">
        <v>59</v>
      </c>
      <c r="F26" s="11" t="s">
        <v>60</v>
      </c>
      <c r="G26" s="11"/>
      <c r="H26" s="11"/>
      <c r="I26" s="11"/>
      <c r="J26" s="7" t="str">
        <f aca="false">IF(A26="","",IF(AND(F26="Approved",G26&lt;&gt;"",H26&lt;&gt;""),"Ready","Not yet"))</f>
        <v>Not yet</v>
      </c>
    </row>
    <row r="27" customFormat="false" ht="15" hidden="false" customHeight="true" outlineLevel="0" collapsed="false">
      <c r="A27" s="11" t="s">
        <v>499</v>
      </c>
      <c r="B27" s="11" t="s">
        <v>501</v>
      </c>
      <c r="C27" s="11" t="s">
        <v>502</v>
      </c>
      <c r="D27" s="11" t="s">
        <v>498</v>
      </c>
      <c r="E27" s="11" t="s">
        <v>59</v>
      </c>
      <c r="F27" s="11" t="s">
        <v>60</v>
      </c>
      <c r="G27" s="11"/>
      <c r="H27" s="11"/>
      <c r="I27" s="11"/>
      <c r="J27" s="7" t="str">
        <f aca="false">IF(A27="","",IF(AND(F27="Approved",G27&lt;&gt;"",H27&lt;&gt;""),"Ready","Not yet"))</f>
        <v>Not yet</v>
      </c>
    </row>
    <row r="28" customFormat="false" ht="15" hidden="false" customHeight="true" outlineLevel="0" collapsed="false">
      <c r="A28" s="11" t="s">
        <v>1381</v>
      </c>
      <c r="B28" s="11" t="s">
        <v>1382</v>
      </c>
      <c r="C28" s="11" t="s">
        <v>1383</v>
      </c>
      <c r="D28" s="11" t="s">
        <v>451</v>
      </c>
      <c r="E28" s="11" t="s">
        <v>59</v>
      </c>
      <c r="F28" s="11" t="s">
        <v>60</v>
      </c>
      <c r="G28" s="11"/>
      <c r="H28" s="11"/>
      <c r="I28" s="11"/>
      <c r="J28" s="7" t="str">
        <f aca="false">IF(A28="","",IF(AND(F28="Approved",G28&lt;&gt;"",H28&lt;&gt;""),"Ready","Not yet"))</f>
        <v>Not yet</v>
      </c>
    </row>
    <row r="29" customFormat="false" ht="15" hidden="false" customHeight="true" outlineLevel="0" collapsed="false">
      <c r="A29" s="11" t="s">
        <v>561</v>
      </c>
      <c r="B29" s="11" t="s">
        <v>563</v>
      </c>
      <c r="C29" s="11" t="s">
        <v>1384</v>
      </c>
      <c r="D29" s="11" t="s">
        <v>487</v>
      </c>
      <c r="E29" s="11" t="s">
        <v>59</v>
      </c>
      <c r="F29" s="11" t="s">
        <v>60</v>
      </c>
      <c r="G29" s="11"/>
      <c r="H29" s="11"/>
      <c r="I29" s="11"/>
      <c r="J29" s="7" t="str">
        <f aca="false">IF(A29="","",IF(AND(F29="Approved",G29&lt;&gt;"",H29&lt;&gt;""),"Ready","Not yet"))</f>
        <v>Not yet</v>
      </c>
    </row>
    <row r="30" customFormat="false" ht="15" hidden="false" customHeight="true" outlineLevel="0" collapsed="false">
      <c r="A30" s="11" t="s">
        <v>577</v>
      </c>
      <c r="B30" s="11" t="s">
        <v>579</v>
      </c>
      <c r="C30" s="11" t="s">
        <v>580</v>
      </c>
      <c r="D30" s="11" t="s">
        <v>576</v>
      </c>
      <c r="E30" s="11" t="s">
        <v>59</v>
      </c>
      <c r="F30" s="11" t="s">
        <v>60</v>
      </c>
      <c r="G30" s="11"/>
      <c r="H30" s="11"/>
      <c r="I30" s="11"/>
      <c r="J30" s="7" t="str">
        <f aca="false">IF(A30="","",IF(AND(F30="Approved",G30&lt;&gt;"",H30&lt;&gt;""),"Ready","Not yet"))</f>
        <v>Not yet</v>
      </c>
    </row>
    <row r="31" customFormat="false" ht="15" hidden="false" customHeight="true" outlineLevel="0" collapsed="false">
      <c r="A31" s="11" t="s">
        <v>571</v>
      </c>
      <c r="B31" s="11" t="s">
        <v>573</v>
      </c>
      <c r="C31" s="11" t="s">
        <v>574</v>
      </c>
      <c r="D31" s="11" t="s">
        <v>576</v>
      </c>
      <c r="E31" s="11" t="s">
        <v>59</v>
      </c>
      <c r="F31" s="11" t="s">
        <v>60</v>
      </c>
      <c r="G31" s="11"/>
      <c r="H31" s="11"/>
      <c r="I31" s="11"/>
      <c r="J31" s="7" t="str">
        <f aca="false">IF(A31="","",IF(AND(F31="Approved",G31&lt;&gt;"",H31&lt;&gt;""),"Ready","Not yet"))</f>
        <v>Not yet</v>
      </c>
    </row>
    <row r="32" customFormat="false" ht="23.25" hidden="false" customHeight="true" outlineLevel="0" collapsed="false">
      <c r="A32" s="11" t="s">
        <v>1385</v>
      </c>
      <c r="B32" s="11" t="s">
        <v>1386</v>
      </c>
      <c r="C32" s="11" t="s">
        <v>1387</v>
      </c>
      <c r="D32" s="11" t="s">
        <v>377</v>
      </c>
      <c r="E32" s="11" t="s">
        <v>59</v>
      </c>
      <c r="F32" s="11" t="s">
        <v>60</v>
      </c>
      <c r="G32" s="11"/>
      <c r="H32" s="11"/>
      <c r="I32" s="11"/>
      <c r="J32" s="7" t="str">
        <f aca="false">IF(A32="","",IF(AND(F32="Approved",G32&lt;&gt;"",H32&lt;&gt;""),"Ready","Not yet"))</f>
        <v>Not yet</v>
      </c>
    </row>
    <row r="33" customFormat="false" ht="15" hidden="false" customHeight="true" outlineLevel="0" collapsed="false">
      <c r="A33" s="11" t="s">
        <v>1388</v>
      </c>
      <c r="B33" s="11" t="s">
        <v>1389</v>
      </c>
      <c r="C33" s="11" t="s">
        <v>1390</v>
      </c>
      <c r="D33" s="11" t="s">
        <v>576</v>
      </c>
      <c r="E33" s="11" t="s">
        <v>59</v>
      </c>
      <c r="F33" s="11" t="s">
        <v>60</v>
      </c>
      <c r="G33" s="11"/>
      <c r="H33" s="11"/>
      <c r="I33" s="11"/>
      <c r="J33" s="7" t="str">
        <f aca="false">IF(A33="","",IF(AND(F33="Approved",G33&lt;&gt;"",H33&lt;&gt;""),"Ready","Not yet"))</f>
        <v>Not yet</v>
      </c>
    </row>
    <row r="34" customFormat="false" ht="15" hidden="false" customHeight="true" outlineLevel="0" collapsed="false">
      <c r="A34" s="11" t="s">
        <v>1391</v>
      </c>
      <c r="B34" s="11" t="s">
        <v>1233</v>
      </c>
      <c r="C34" s="11" t="s">
        <v>1392</v>
      </c>
      <c r="D34" s="11" t="s">
        <v>576</v>
      </c>
      <c r="E34" s="11" t="s">
        <v>59</v>
      </c>
      <c r="F34" s="11" t="s">
        <v>60</v>
      </c>
      <c r="G34" s="11"/>
      <c r="H34" s="11"/>
      <c r="I34" s="11"/>
      <c r="J34" s="7" t="str">
        <f aca="false">IF(A34="","",IF(AND(F34="Approved",G34&lt;&gt;"",H34&lt;&gt;""),"Ready","Not yet"))</f>
        <v>Not yet</v>
      </c>
    </row>
    <row r="35" customFormat="false" ht="15" hidden="false" customHeight="true" outlineLevel="0" collapsed="false">
      <c r="A35" s="11" t="s">
        <v>1393</v>
      </c>
      <c r="B35" s="11" t="s">
        <v>1394</v>
      </c>
      <c r="C35" s="11" t="s">
        <v>1395</v>
      </c>
      <c r="D35" s="11" t="s">
        <v>683</v>
      </c>
      <c r="E35" s="11" t="s">
        <v>59</v>
      </c>
      <c r="F35" s="11" t="s">
        <v>60</v>
      </c>
      <c r="G35" s="11"/>
      <c r="H35" s="11"/>
      <c r="I35" s="11"/>
      <c r="J35" s="7" t="str">
        <f aca="false">IF(A35="","",IF(AND(F35="Approved",G35&lt;&gt;"",H35&lt;&gt;""),"Ready","Not yet"))</f>
        <v>Not yet</v>
      </c>
    </row>
    <row r="36" customFormat="false" ht="15" hidden="false" customHeight="true" outlineLevel="0" collapsed="false">
      <c r="A36" s="11" t="s">
        <v>1396</v>
      </c>
      <c r="B36" s="11" t="s">
        <v>1397</v>
      </c>
      <c r="C36" s="11" t="s">
        <v>1398</v>
      </c>
      <c r="D36" s="11" t="s">
        <v>576</v>
      </c>
      <c r="E36" s="11" t="s">
        <v>59</v>
      </c>
      <c r="F36" s="11" t="s">
        <v>60</v>
      </c>
      <c r="G36" s="11"/>
      <c r="H36" s="11"/>
      <c r="I36" s="11"/>
      <c r="J36" s="7" t="str">
        <f aca="false">IF(A36="","",IF(AND(F36="Approved",G36&lt;&gt;"",H36&lt;&gt;""),"Ready","Not yet"))</f>
        <v>Not yet</v>
      </c>
    </row>
    <row r="37" customFormat="false" ht="15" hidden="false" customHeight="true" outlineLevel="0" collapsed="false">
      <c r="A37" s="11" t="s">
        <v>1399</v>
      </c>
      <c r="B37" s="11" t="s">
        <v>1242</v>
      </c>
      <c r="C37" s="11" t="s">
        <v>1400</v>
      </c>
      <c r="D37" s="11" t="s">
        <v>576</v>
      </c>
      <c r="E37" s="11" t="s">
        <v>59</v>
      </c>
      <c r="F37" s="11" t="s">
        <v>60</v>
      </c>
      <c r="G37" s="11"/>
      <c r="H37" s="11"/>
      <c r="I37" s="11"/>
      <c r="J37" s="7" t="str">
        <f aca="false">IF(A37="","",IF(AND(F37="Approved",G37&lt;&gt;"",H37&lt;&gt;""),"Ready","Not yet"))</f>
        <v>Not yet</v>
      </c>
    </row>
    <row r="38" customFormat="false" ht="15" hidden="false" customHeight="true" outlineLevel="0" collapsed="false">
      <c r="A38" s="11" t="s">
        <v>1401</v>
      </c>
      <c r="B38" s="11" t="s">
        <v>1402</v>
      </c>
      <c r="C38" s="11" t="s">
        <v>1403</v>
      </c>
      <c r="D38" s="11" t="s">
        <v>377</v>
      </c>
      <c r="E38" s="11" t="s">
        <v>59</v>
      </c>
      <c r="F38" s="11" t="s">
        <v>60</v>
      </c>
      <c r="G38" s="11"/>
      <c r="H38" s="11"/>
      <c r="I38" s="11"/>
      <c r="J38" s="7" t="str">
        <f aca="false">IF(A38="","",IF(AND(F38="Approved",G38&lt;&gt;"",H38&lt;&gt;""),"Ready","Not yet"))</f>
        <v>Not yet</v>
      </c>
    </row>
    <row r="39" customFormat="false" ht="15" hidden="false" customHeight="true" outlineLevel="0" collapsed="false">
      <c r="A39" s="11" t="s">
        <v>545</v>
      </c>
      <c r="B39" s="11" t="s">
        <v>547</v>
      </c>
      <c r="C39" s="11" t="s">
        <v>548</v>
      </c>
      <c r="D39" s="11" t="s">
        <v>550</v>
      </c>
      <c r="E39" s="11" t="s">
        <v>59</v>
      </c>
      <c r="F39" s="11" t="s">
        <v>60</v>
      </c>
      <c r="G39" s="11"/>
      <c r="H39" s="11"/>
      <c r="I39" s="11"/>
      <c r="J39" s="7" t="str">
        <f aca="false">IF(A39="","",IF(AND(F39="Approved",G39&lt;&gt;"",H39&lt;&gt;""),"Ready","Not yet"))</f>
        <v>Not yet</v>
      </c>
    </row>
    <row r="40" customFormat="false" ht="23.25" hidden="false" customHeight="true" outlineLevel="0" collapsed="false">
      <c r="A40" s="11" t="s">
        <v>633</v>
      </c>
      <c r="B40" s="11" t="s">
        <v>635</v>
      </c>
      <c r="C40" s="11" t="s">
        <v>1404</v>
      </c>
      <c r="D40" s="11" t="s">
        <v>487</v>
      </c>
      <c r="E40" s="11" t="s">
        <v>59</v>
      </c>
      <c r="F40" s="11" t="s">
        <v>60</v>
      </c>
      <c r="G40" s="11"/>
      <c r="H40" s="11"/>
      <c r="I40" s="11"/>
      <c r="J40" s="7" t="str">
        <f aca="false">IF(A40="","",IF(AND(F40="Approved",G40&lt;&gt;"",H40&lt;&gt;""),"Ready","Not yet"))</f>
        <v>Not yet</v>
      </c>
    </row>
    <row r="41" customFormat="false" ht="23.25" hidden="false" customHeight="true" outlineLevel="0" collapsed="false">
      <c r="A41" s="11" t="s">
        <v>628</v>
      </c>
      <c r="B41" s="11" t="s">
        <v>630</v>
      </c>
      <c r="C41" s="11" t="s">
        <v>1405</v>
      </c>
      <c r="D41" s="11" t="s">
        <v>487</v>
      </c>
      <c r="E41" s="11" t="s">
        <v>59</v>
      </c>
      <c r="F41" s="11" t="s">
        <v>60</v>
      </c>
      <c r="G41" s="11"/>
      <c r="H41" s="11"/>
      <c r="I41" s="11"/>
      <c r="J41" s="7" t="str">
        <f aca="false">IF(A41="","",IF(AND(F41="Approved",G41&lt;&gt;"",H41&lt;&gt;""),"Ready","Not yet"))</f>
        <v>Not yet</v>
      </c>
    </row>
    <row r="42" customFormat="false" ht="15" hidden="false" customHeight="true" outlineLevel="0" collapsed="false">
      <c r="A42" s="11" t="s">
        <v>618</v>
      </c>
      <c r="B42" s="11" t="s">
        <v>620</v>
      </c>
      <c r="C42" s="11" t="s">
        <v>621</v>
      </c>
      <c r="D42" s="11" t="s">
        <v>487</v>
      </c>
      <c r="E42" s="11" t="s">
        <v>59</v>
      </c>
      <c r="F42" s="11" t="s">
        <v>60</v>
      </c>
      <c r="G42" s="11"/>
      <c r="H42" s="11"/>
      <c r="I42" s="11"/>
      <c r="J42" s="7" t="str">
        <f aca="false">IF(A42="","",IF(AND(F42="Approved",G42&lt;&gt;"",H42&lt;&gt;""),"Ready","Not yet"))</f>
        <v>Not yet</v>
      </c>
    </row>
    <row r="43" customFormat="false" ht="15" hidden="false" customHeight="true" outlineLevel="0" collapsed="false">
      <c r="A43" s="11" t="s">
        <v>1406</v>
      </c>
      <c r="B43" s="11" t="s">
        <v>1407</v>
      </c>
      <c r="C43" s="11" t="s">
        <v>1408</v>
      </c>
      <c r="D43" s="11" t="s">
        <v>487</v>
      </c>
      <c r="E43" s="11" t="s">
        <v>59</v>
      </c>
      <c r="F43" s="11" t="s">
        <v>60</v>
      </c>
      <c r="G43" s="11"/>
      <c r="H43" s="11"/>
      <c r="I43" s="11"/>
      <c r="J43" s="7" t="str">
        <f aca="false">IF(A43="","",IF(AND(F43="Approved",G43&lt;&gt;"",H43&lt;&gt;""),"Ready","Not yet"))</f>
        <v>Not yet</v>
      </c>
    </row>
    <row r="44" customFormat="false" ht="15" hidden="false" customHeight="true" outlineLevel="0" collapsed="false">
      <c r="A44" s="11" t="s">
        <v>623</v>
      </c>
      <c r="B44" s="11" t="s">
        <v>625</v>
      </c>
      <c r="C44" s="11" t="s">
        <v>1409</v>
      </c>
      <c r="D44" s="11" t="s">
        <v>498</v>
      </c>
      <c r="E44" s="11" t="s">
        <v>59</v>
      </c>
      <c r="F44" s="11" t="s">
        <v>60</v>
      </c>
      <c r="G44" s="11"/>
      <c r="H44" s="11"/>
      <c r="I44" s="11"/>
      <c r="J44" s="7" t="str">
        <f aca="false">IF(A44="","",IF(AND(F44="Approved",G44&lt;&gt;"",H44&lt;&gt;""),"Ready","Not yet"))</f>
        <v>Not yet</v>
      </c>
    </row>
    <row r="45" customFormat="false" ht="15" hidden="false" customHeight="true" outlineLevel="0" collapsed="false">
      <c r="A45" s="11" t="s">
        <v>613</v>
      </c>
      <c r="B45" s="11" t="s">
        <v>1410</v>
      </c>
      <c r="C45" s="11" t="s">
        <v>616</v>
      </c>
      <c r="D45" s="11" t="s">
        <v>487</v>
      </c>
      <c r="E45" s="11" t="s">
        <v>59</v>
      </c>
      <c r="F45" s="11" t="s">
        <v>60</v>
      </c>
      <c r="G45" s="11"/>
      <c r="H45" s="11"/>
      <c r="I45" s="11"/>
      <c r="J45" s="7" t="str">
        <f aca="false">IF(A45="","",IF(AND(F45="Approved",G45&lt;&gt;"",H45&lt;&gt;""),"Ready","Not yet"))</f>
        <v>Not yet</v>
      </c>
    </row>
    <row r="46" customFormat="false" ht="15" hidden="false" customHeight="true" outlineLevel="0" collapsed="false">
      <c r="A46" s="11" t="s">
        <v>638</v>
      </c>
      <c r="B46" s="11" t="s">
        <v>640</v>
      </c>
      <c r="C46" s="11" t="s">
        <v>641</v>
      </c>
      <c r="D46" s="11" t="s">
        <v>377</v>
      </c>
      <c r="E46" s="11" t="s">
        <v>59</v>
      </c>
      <c r="F46" s="11" t="s">
        <v>60</v>
      </c>
      <c r="G46" s="11"/>
      <c r="H46" s="11"/>
      <c r="I46" s="11"/>
      <c r="J46" s="7" t="str">
        <f aca="false">IF(A46="","",IF(AND(F46="Approved",G46&lt;&gt;"",H46&lt;&gt;""),"Ready","Not yet"))</f>
        <v>Not yet</v>
      </c>
    </row>
    <row r="47" customFormat="false" ht="15" hidden="false" customHeight="true" outlineLevel="0" collapsed="false">
      <c r="A47" s="11" t="s">
        <v>643</v>
      </c>
      <c r="B47" s="11" t="s">
        <v>645</v>
      </c>
      <c r="C47" s="11" t="s">
        <v>646</v>
      </c>
      <c r="D47" s="11" t="s">
        <v>377</v>
      </c>
      <c r="E47" s="11" t="s">
        <v>59</v>
      </c>
      <c r="F47" s="11" t="s">
        <v>60</v>
      </c>
      <c r="G47" s="11"/>
      <c r="H47" s="11"/>
      <c r="I47" s="11"/>
      <c r="J47" s="7" t="str">
        <f aca="false">IF(A47="","",IF(AND(F47="Approved",G47&lt;&gt;"",H47&lt;&gt;""),"Ready","Not yet"))</f>
        <v>Not yet</v>
      </c>
    </row>
    <row r="48" customFormat="false" ht="15" hidden="false" customHeight="true" outlineLevel="0" collapsed="false">
      <c r="A48" s="11" t="s">
        <v>602</v>
      </c>
      <c r="B48" s="11" t="s">
        <v>1411</v>
      </c>
      <c r="C48" s="11" t="s">
        <v>605</v>
      </c>
      <c r="D48" s="11" t="s">
        <v>377</v>
      </c>
      <c r="E48" s="11" t="s">
        <v>59</v>
      </c>
      <c r="F48" s="11" t="s">
        <v>60</v>
      </c>
      <c r="G48" s="11"/>
      <c r="H48" s="11"/>
      <c r="I48" s="11"/>
      <c r="J48" s="7" t="str">
        <f aca="false">IF(A48="","",IF(AND(F48="Approved",G48&lt;&gt;"",H48&lt;&gt;""),"Ready","Not yet"))</f>
        <v>Not yet</v>
      </c>
    </row>
    <row r="49" customFormat="false" ht="15" hidden="false" customHeight="true" outlineLevel="0" collapsed="false">
      <c r="A49" s="11" t="s">
        <v>1412</v>
      </c>
      <c r="B49" s="11" t="s">
        <v>1413</v>
      </c>
      <c r="C49" s="11" t="s">
        <v>1414</v>
      </c>
      <c r="D49" s="11" t="s">
        <v>487</v>
      </c>
      <c r="E49" s="11" t="s">
        <v>59</v>
      </c>
      <c r="F49" s="11" t="s">
        <v>60</v>
      </c>
      <c r="G49" s="11"/>
      <c r="H49" s="11"/>
      <c r="I49" s="11"/>
      <c r="J49" s="7" t="str">
        <f aca="false">IF(A49="","",IF(AND(F49="Approved",G49&lt;&gt;"",H49&lt;&gt;""),"Ready","Not yet"))</f>
        <v>Not yet</v>
      </c>
    </row>
    <row r="50" customFormat="false" ht="15" hidden="false" customHeight="true" outlineLevel="0" collapsed="false">
      <c r="A50" s="11" t="s">
        <v>1415</v>
      </c>
      <c r="B50" s="11" t="s">
        <v>1416</v>
      </c>
      <c r="C50" s="11" t="s">
        <v>1417</v>
      </c>
      <c r="D50" s="11" t="s">
        <v>487</v>
      </c>
      <c r="E50" s="11" t="s">
        <v>59</v>
      </c>
      <c r="F50" s="11" t="s">
        <v>60</v>
      </c>
      <c r="G50" s="11"/>
      <c r="H50" s="11"/>
      <c r="I50" s="11"/>
      <c r="J50" s="7" t="str">
        <f aca="false">IF(A50="","",IF(AND(F50="Approved",G50&lt;&gt;"",H50&lt;&gt;""),"Ready","Not yet"))</f>
        <v>Not yet</v>
      </c>
    </row>
    <row r="51" customFormat="false" ht="15" hidden="false" customHeight="true" outlineLevel="0" collapsed="false">
      <c r="A51" s="11" t="s">
        <v>1418</v>
      </c>
      <c r="B51" s="11" t="s">
        <v>1275</v>
      </c>
      <c r="C51" s="11" t="s">
        <v>1419</v>
      </c>
      <c r="D51" s="11" t="s">
        <v>498</v>
      </c>
      <c r="E51" s="11" t="s">
        <v>59</v>
      </c>
      <c r="F51" s="11" t="s">
        <v>60</v>
      </c>
      <c r="G51" s="11"/>
      <c r="H51" s="11"/>
      <c r="I51" s="11"/>
      <c r="J51" s="7" t="str">
        <f aca="false">IF(A51="","",IF(AND(F51="Approved",G51&lt;&gt;"",H51&lt;&gt;""),"Ready","Not yet"))</f>
        <v>Not yet</v>
      </c>
    </row>
    <row r="52" customFormat="false" ht="15" hidden="false" customHeight="true" outlineLevel="0" collapsed="false">
      <c r="A52" s="11" t="s">
        <v>608</v>
      </c>
      <c r="B52" s="11" t="s">
        <v>610</v>
      </c>
      <c r="C52" s="11" t="s">
        <v>611</v>
      </c>
      <c r="D52" s="11" t="s">
        <v>498</v>
      </c>
      <c r="E52" s="11" t="s">
        <v>59</v>
      </c>
      <c r="F52" s="11" t="s">
        <v>60</v>
      </c>
      <c r="G52" s="11"/>
      <c r="H52" s="11"/>
      <c r="I52" s="11"/>
      <c r="J52" s="7" t="str">
        <f aca="false">IF(A52="","",IF(AND(F52="Approved",G52&lt;&gt;"",H52&lt;&gt;""),"Ready","Not yet"))</f>
        <v>Not yet</v>
      </c>
    </row>
    <row r="53" customFormat="false" ht="15" hidden="false" customHeight="true" outlineLevel="0" collapsed="false">
      <c r="A53" s="11" t="s">
        <v>592</v>
      </c>
      <c r="B53" s="11" t="s">
        <v>594</v>
      </c>
      <c r="C53" s="11" t="s">
        <v>595</v>
      </c>
      <c r="D53" s="11" t="s">
        <v>487</v>
      </c>
      <c r="E53" s="11" t="s">
        <v>59</v>
      </c>
      <c r="F53" s="11" t="s">
        <v>60</v>
      </c>
      <c r="G53" s="11"/>
      <c r="H53" s="11"/>
      <c r="I53" s="11"/>
      <c r="J53" s="7" t="str">
        <f aca="false">IF(A53="","",IF(AND(F53="Approved",G53&lt;&gt;"",H53&lt;&gt;""),"Ready","Not yet"))</f>
        <v>Not yet</v>
      </c>
    </row>
    <row r="54" customFormat="false" ht="15" hidden="false" customHeight="true" outlineLevel="0" collapsed="false">
      <c r="A54" s="11" t="s">
        <v>658</v>
      </c>
      <c r="B54" s="11" t="s">
        <v>660</v>
      </c>
      <c r="C54" s="11" t="s">
        <v>661</v>
      </c>
      <c r="D54" s="11" t="s">
        <v>498</v>
      </c>
      <c r="E54" s="11" t="s">
        <v>59</v>
      </c>
      <c r="F54" s="11" t="s">
        <v>60</v>
      </c>
      <c r="G54" s="11"/>
      <c r="H54" s="11"/>
      <c r="I54" s="11"/>
      <c r="J54" s="7" t="str">
        <f aca="false">IF(A54="","",IF(AND(F54="Approved",G54&lt;&gt;"",H54&lt;&gt;""),"Ready","Not yet"))</f>
        <v>Not yet</v>
      </c>
    </row>
    <row r="55" customFormat="false" ht="15" hidden="false" customHeight="true" outlineLevel="0" collapsed="false">
      <c r="A55" s="11" t="s">
        <v>1420</v>
      </c>
      <c r="B55" s="11" t="s">
        <v>1421</v>
      </c>
      <c r="C55" s="11" t="s">
        <v>1422</v>
      </c>
      <c r="D55" s="11" t="s">
        <v>498</v>
      </c>
      <c r="E55" s="11" t="s">
        <v>59</v>
      </c>
      <c r="F55" s="11" t="s">
        <v>60</v>
      </c>
      <c r="G55" s="11"/>
      <c r="H55" s="11"/>
      <c r="I55" s="11"/>
      <c r="J55" s="7" t="str">
        <f aca="false">IF(A55="","",IF(AND(F55="Approved",G55&lt;&gt;"",H55&lt;&gt;""),"Ready","Not yet"))</f>
        <v>Not yet</v>
      </c>
    </row>
    <row r="56" customFormat="false" ht="15" hidden="false" customHeight="true" outlineLevel="0" collapsed="false">
      <c r="A56" s="11" t="s">
        <v>653</v>
      </c>
      <c r="B56" s="11" t="s">
        <v>655</v>
      </c>
      <c r="C56" s="11" t="s">
        <v>1091</v>
      </c>
      <c r="D56" s="11" t="s">
        <v>377</v>
      </c>
      <c r="E56" s="11" t="s">
        <v>59</v>
      </c>
      <c r="F56" s="11" t="s">
        <v>60</v>
      </c>
      <c r="G56" s="11"/>
      <c r="H56" s="11"/>
      <c r="I56" s="11"/>
      <c r="J56" s="7" t="str">
        <f aca="false">IF(A56="","",IF(AND(F56="Approved",G56&lt;&gt;"",H56&lt;&gt;""),"Ready","Not yet"))</f>
        <v>Not yet</v>
      </c>
    </row>
    <row r="57" customFormat="false" ht="15" hidden="false" customHeight="true" outlineLevel="0" collapsed="false">
      <c r="A57" s="11" t="s">
        <v>1093</v>
      </c>
      <c r="B57" s="11" t="s">
        <v>1423</v>
      </c>
      <c r="C57" s="11" t="s">
        <v>1097</v>
      </c>
      <c r="D57" s="11" t="s">
        <v>377</v>
      </c>
      <c r="E57" s="11" t="s">
        <v>59</v>
      </c>
      <c r="F57" s="11" t="s">
        <v>60</v>
      </c>
      <c r="G57" s="11"/>
      <c r="H57" s="11"/>
      <c r="I57" s="11"/>
      <c r="J57" s="7" t="str">
        <f aca="false">IF(A57="","",IF(AND(F57="Approved",G57&lt;&gt;"",H57&lt;&gt;""),"Ready","Not yet"))</f>
        <v>Not yet</v>
      </c>
    </row>
    <row r="58" customFormat="false" ht="15" hidden="false" customHeight="true" outlineLevel="0" collapsed="false">
      <c r="A58" s="11" t="s">
        <v>1424</v>
      </c>
      <c r="B58" s="11" t="s">
        <v>1425</v>
      </c>
      <c r="C58" s="11" t="s">
        <v>1426</v>
      </c>
      <c r="D58" s="11" t="s">
        <v>377</v>
      </c>
      <c r="E58" s="11" t="s">
        <v>59</v>
      </c>
      <c r="F58" s="11" t="s">
        <v>60</v>
      </c>
      <c r="G58" s="11"/>
      <c r="H58" s="11"/>
      <c r="I58" s="11"/>
      <c r="J58" s="7" t="str">
        <f aca="false">IF(A58="","",IF(AND(F58="Approved",G58&lt;&gt;"",H58&lt;&gt;""),"Ready","Not yet"))</f>
        <v>Not yet</v>
      </c>
    </row>
    <row r="59" customFormat="false" ht="15" hidden="false" customHeight="true" outlineLevel="0" collapsed="false">
      <c r="A59" s="11" t="s">
        <v>1427</v>
      </c>
      <c r="B59" s="11" t="s">
        <v>1428</v>
      </c>
      <c r="C59" s="11" t="s">
        <v>1429</v>
      </c>
      <c r="D59" s="11" t="s">
        <v>576</v>
      </c>
      <c r="E59" s="11" t="s">
        <v>59</v>
      </c>
      <c r="F59" s="11" t="s">
        <v>60</v>
      </c>
      <c r="G59" s="11"/>
      <c r="H59" s="11"/>
      <c r="I59" s="11"/>
      <c r="J59" s="7" t="str">
        <f aca="false">IF(A59="","",IF(AND(F59="Approved",G59&lt;&gt;"",H59&lt;&gt;""),"Ready","Not yet"))</f>
        <v>Not yet</v>
      </c>
    </row>
    <row r="60" customFormat="false" ht="15" hidden="false" customHeight="true" outlineLevel="0" collapsed="false">
      <c r="A60" s="11" t="s">
        <v>1430</v>
      </c>
      <c r="B60" s="11" t="s">
        <v>1431</v>
      </c>
      <c r="C60" s="11" t="s">
        <v>1432</v>
      </c>
      <c r="D60" s="11" t="s">
        <v>576</v>
      </c>
      <c r="E60" s="11" t="s">
        <v>59</v>
      </c>
      <c r="F60" s="11" t="s">
        <v>60</v>
      </c>
      <c r="G60" s="11"/>
      <c r="H60" s="11"/>
      <c r="I60" s="11"/>
      <c r="J60" s="7" t="str">
        <f aca="false">IF(A60="","",IF(AND(F60="Approved",G60&lt;&gt;"",H60&lt;&gt;""),"Ready","Not yet"))</f>
        <v>Not yet</v>
      </c>
    </row>
    <row r="61" customFormat="false" ht="15" hidden="false" customHeight="true" outlineLevel="0" collapsed="false">
      <c r="A61" s="11" t="s">
        <v>826</v>
      </c>
      <c r="B61" s="11" t="s">
        <v>1433</v>
      </c>
      <c r="C61" s="11" t="s">
        <v>1434</v>
      </c>
      <c r="D61" s="11" t="s">
        <v>576</v>
      </c>
      <c r="E61" s="11" t="s">
        <v>59</v>
      </c>
      <c r="F61" s="11" t="s">
        <v>60</v>
      </c>
      <c r="G61" s="11"/>
      <c r="H61" s="11"/>
      <c r="I61" s="11"/>
      <c r="J61" s="7" t="str">
        <f aca="false">IF(A61="","",IF(AND(F61="Approved",G61&lt;&gt;"",H61&lt;&gt;""),"Ready","Not yet"))</f>
        <v>Not yet</v>
      </c>
    </row>
    <row r="62" customFormat="false" ht="23.25" hidden="false" customHeight="true" outlineLevel="0" collapsed="false">
      <c r="A62" s="11" t="s">
        <v>1435</v>
      </c>
      <c r="B62" s="11" t="s">
        <v>1283</v>
      </c>
      <c r="C62" s="11" t="s">
        <v>1436</v>
      </c>
      <c r="D62" s="11" t="s">
        <v>1437</v>
      </c>
      <c r="E62" s="11" t="s">
        <v>59</v>
      </c>
      <c r="F62" s="11" t="s">
        <v>60</v>
      </c>
      <c r="G62" s="11"/>
      <c r="H62" s="11"/>
      <c r="I62" s="11"/>
      <c r="J62" s="7" t="str">
        <f aca="false">IF(A62="","",IF(AND(F62="Approved",G62&lt;&gt;"",H62&lt;&gt;""),"Ready","Not yet"))</f>
        <v>Not yet</v>
      </c>
    </row>
    <row r="63" customFormat="false" ht="15" hidden="false" customHeight="true" outlineLevel="0" collapsed="false">
      <c r="A63" s="11" t="s">
        <v>1438</v>
      </c>
      <c r="B63" s="11" t="s">
        <v>1439</v>
      </c>
      <c r="C63" s="11" t="s">
        <v>1440</v>
      </c>
      <c r="D63" s="11" t="s">
        <v>1437</v>
      </c>
      <c r="E63" s="11" t="s">
        <v>59</v>
      </c>
      <c r="F63" s="11" t="s">
        <v>60</v>
      </c>
      <c r="G63" s="11"/>
      <c r="H63" s="11"/>
      <c r="I63" s="11"/>
      <c r="J63" s="7" t="str">
        <f aca="false">IF(A63="","",IF(AND(F63="Approved",G63&lt;&gt;"",H63&lt;&gt;""),"Ready","Not yet"))</f>
        <v>Not yet</v>
      </c>
    </row>
    <row r="64" customFormat="false" ht="15" hidden="false" customHeight="true" outlineLevel="0" collapsed="false">
      <c r="A64" s="11" t="s">
        <v>1441</v>
      </c>
      <c r="B64" s="11" t="s">
        <v>1292</v>
      </c>
      <c r="C64" s="11" t="s">
        <v>1442</v>
      </c>
      <c r="D64" s="11" t="s">
        <v>1437</v>
      </c>
      <c r="E64" s="11" t="s">
        <v>59</v>
      </c>
      <c r="F64" s="11" t="s">
        <v>60</v>
      </c>
      <c r="G64" s="11"/>
      <c r="H64" s="11"/>
      <c r="I64" s="11"/>
      <c r="J64" s="7" t="str">
        <f aca="false">IF(A64="","",IF(AND(F64="Approved",G64&lt;&gt;"",H64&lt;&gt;""),"Ready","Not yet"))</f>
        <v>Not yet</v>
      </c>
    </row>
    <row r="65" customFormat="false" ht="15" hidden="false" customHeight="true" outlineLevel="0" collapsed="false">
      <c r="A65" s="11" t="s">
        <v>1443</v>
      </c>
      <c r="B65" s="11" t="s">
        <v>1444</v>
      </c>
      <c r="C65" s="11" t="s">
        <v>1445</v>
      </c>
      <c r="D65" s="11" t="s">
        <v>1437</v>
      </c>
      <c r="E65" s="11" t="s">
        <v>59</v>
      </c>
      <c r="F65" s="11" t="s">
        <v>60</v>
      </c>
      <c r="G65" s="11"/>
      <c r="H65" s="11"/>
      <c r="I65" s="11"/>
      <c r="J65" s="7" t="str">
        <f aca="false">IF(A65="","",IF(AND(F65="Approved",G65&lt;&gt;"",H65&lt;&gt;""),"Ready","Not yet"))</f>
        <v>Not yet</v>
      </c>
    </row>
    <row r="66" customFormat="false" ht="15" hidden="false" customHeight="true" outlineLevel="0" collapsed="false">
      <c r="A66" s="11" t="s">
        <v>684</v>
      </c>
      <c r="B66" s="11" t="s">
        <v>686</v>
      </c>
      <c r="C66" s="11" t="s">
        <v>687</v>
      </c>
      <c r="D66" s="11" t="s">
        <v>377</v>
      </c>
      <c r="E66" s="11" t="s">
        <v>59</v>
      </c>
      <c r="F66" s="11" t="s">
        <v>60</v>
      </c>
      <c r="G66" s="11"/>
      <c r="H66" s="11"/>
      <c r="I66" s="11"/>
      <c r="J66" s="7" t="str">
        <f aca="false">IF(A66="","",IF(AND(F66="Approved",G66&lt;&gt;"",H66&lt;&gt;""),"Ready","Not yet"))</f>
        <v>Not yet</v>
      </c>
    </row>
    <row r="67" customFormat="false" ht="15" hidden="false" customHeight="true" outlineLevel="0" collapsed="false">
      <c r="A67" s="11" t="s">
        <v>1446</v>
      </c>
      <c r="B67" s="11" t="s">
        <v>1447</v>
      </c>
      <c r="C67" s="11" t="s">
        <v>1448</v>
      </c>
      <c r="D67" s="11" t="s">
        <v>377</v>
      </c>
      <c r="E67" s="11" t="s">
        <v>59</v>
      </c>
      <c r="F67" s="11" t="s">
        <v>60</v>
      </c>
      <c r="G67" s="11"/>
      <c r="H67" s="11"/>
      <c r="I67" s="11"/>
      <c r="J67" s="7" t="str">
        <f aca="false">IF(A67="","",IF(AND(F67="Approved",G67&lt;&gt;"",H67&lt;&gt;""),"Ready","Not yet"))</f>
        <v>Not yet</v>
      </c>
    </row>
    <row r="68" customFormat="false" ht="15" hidden="false" customHeight="true" outlineLevel="0" collapsed="false">
      <c r="A68" s="11" t="s">
        <v>441</v>
      </c>
      <c r="B68" s="11" t="s">
        <v>443</v>
      </c>
      <c r="C68" s="11" t="s">
        <v>444</v>
      </c>
      <c r="D68" s="11" t="s">
        <v>377</v>
      </c>
      <c r="E68" s="11" t="s">
        <v>59</v>
      </c>
      <c r="F68" s="11" t="s">
        <v>60</v>
      </c>
      <c r="G68" s="11"/>
      <c r="H68" s="11"/>
      <c r="I68" s="11"/>
      <c r="J68" s="7" t="str">
        <f aca="false">IF(A68="","",IF(AND(F68="Approved",G68&lt;&gt;"",H68&lt;&gt;""),"Ready","Not yet"))</f>
        <v>Not yet</v>
      </c>
    </row>
    <row r="69" customFormat="false" ht="15" hidden="false" customHeight="true" outlineLevel="0" collapsed="false">
      <c r="A69" s="11" t="s">
        <v>1449</v>
      </c>
      <c r="B69" s="11" t="s">
        <v>1450</v>
      </c>
      <c r="C69" s="11" t="s">
        <v>1451</v>
      </c>
      <c r="D69" s="11" t="s">
        <v>377</v>
      </c>
      <c r="E69" s="11" t="s">
        <v>59</v>
      </c>
      <c r="F69" s="11" t="s">
        <v>60</v>
      </c>
      <c r="G69" s="11"/>
      <c r="H69" s="11"/>
      <c r="I69" s="11"/>
      <c r="J69" s="7" t="str">
        <f aca="false">IF(A69="","",IF(AND(F69="Approved",G69&lt;&gt;"",H69&lt;&gt;""),"Ready","Not yet"))</f>
        <v>Not yet</v>
      </c>
    </row>
    <row r="70" customFormat="false" ht="15" hidden="false" customHeight="true" outlineLevel="0" collapsed="false">
      <c r="A70" s="11" t="s">
        <v>1452</v>
      </c>
      <c r="B70" s="11" t="s">
        <v>1453</v>
      </c>
      <c r="C70" s="11" t="s">
        <v>1454</v>
      </c>
      <c r="D70" s="11" t="s">
        <v>529</v>
      </c>
      <c r="E70" s="11" t="s">
        <v>59</v>
      </c>
      <c r="F70" s="11" t="s">
        <v>60</v>
      </c>
      <c r="G70" s="11"/>
      <c r="H70" s="11"/>
      <c r="I70" s="11"/>
      <c r="J70" s="7" t="str">
        <f aca="false">IF(A70="","",IF(AND(F70="Approved",G70&lt;&gt;"",H70&lt;&gt;""),"Ready","Not yet"))</f>
        <v>Not yet</v>
      </c>
    </row>
    <row r="71" customFormat="false" ht="15" hidden="false" customHeight="true" outlineLevel="0" collapsed="false">
      <c r="A71" s="11" t="s">
        <v>700</v>
      </c>
      <c r="B71" s="11" t="s">
        <v>702</v>
      </c>
      <c r="C71" s="11" t="s">
        <v>703</v>
      </c>
      <c r="D71" s="11" t="s">
        <v>550</v>
      </c>
      <c r="E71" s="11" t="s">
        <v>59</v>
      </c>
      <c r="F71" s="11" t="s">
        <v>60</v>
      </c>
      <c r="G71" s="11"/>
      <c r="H71" s="11"/>
      <c r="I71" s="11"/>
      <c r="J71" s="7" t="str">
        <f aca="false">IF(A71="","",IF(AND(F71="Approved",G71&lt;&gt;"",H71&lt;&gt;""),"Ready","Not yet"))</f>
        <v>Not yet</v>
      </c>
    </row>
    <row r="72" customFormat="false" ht="15" hidden="false" customHeight="true" outlineLevel="0" collapsed="false">
      <c r="A72" s="11" t="s">
        <v>1455</v>
      </c>
      <c r="B72" s="11" t="s">
        <v>1456</v>
      </c>
      <c r="C72" s="11" t="s">
        <v>1457</v>
      </c>
      <c r="D72" s="11" t="s">
        <v>550</v>
      </c>
      <c r="E72" s="11" t="s">
        <v>59</v>
      </c>
      <c r="F72" s="11" t="s">
        <v>60</v>
      </c>
      <c r="G72" s="11"/>
      <c r="H72" s="11"/>
      <c r="I72" s="11"/>
      <c r="J72" s="7" t="str">
        <f aca="false">IF(A72="","",IF(AND(F72="Approved",G72&lt;&gt;"",H72&lt;&gt;""),"Ready","Not yet"))</f>
        <v>Not yet</v>
      </c>
    </row>
    <row r="73" customFormat="false" ht="15" hidden="false" customHeight="true" outlineLevel="0" collapsed="false">
      <c r="A73" s="11" t="s">
        <v>1458</v>
      </c>
      <c r="B73" s="11" t="s">
        <v>1459</v>
      </c>
      <c r="C73" s="11" t="s">
        <v>1460</v>
      </c>
      <c r="D73" s="11" t="s">
        <v>550</v>
      </c>
      <c r="E73" s="11" t="s">
        <v>59</v>
      </c>
      <c r="F73" s="11" t="s">
        <v>60</v>
      </c>
      <c r="G73" s="11"/>
      <c r="H73" s="11"/>
      <c r="I73" s="11"/>
      <c r="J73" s="7" t="str">
        <f aca="false">IF(A73="","",IF(AND(F73="Approved",G73&lt;&gt;"",H73&lt;&gt;""),"Ready","Not yet"))</f>
        <v>Not yet</v>
      </c>
    </row>
    <row r="74" customFormat="false" ht="15" hidden="false" customHeight="true" outlineLevel="0" collapsed="false">
      <c r="A74" s="11" t="s">
        <v>1461</v>
      </c>
      <c r="B74" s="11" t="s">
        <v>1462</v>
      </c>
      <c r="C74" s="11" t="s">
        <v>1463</v>
      </c>
      <c r="D74" s="11" t="s">
        <v>550</v>
      </c>
      <c r="E74" s="11" t="s">
        <v>59</v>
      </c>
      <c r="F74" s="11" t="s">
        <v>60</v>
      </c>
      <c r="G74" s="11"/>
      <c r="H74" s="11"/>
      <c r="I74" s="11"/>
      <c r="J74" s="7" t="str">
        <f aca="false">IF(A74="","",IF(AND(F74="Approved",G74&lt;&gt;"",H74&lt;&gt;""),"Ready","Not yet"))</f>
        <v>Not yet</v>
      </c>
    </row>
    <row r="75" customFormat="false" ht="15" hidden="false" customHeight="true" outlineLevel="0" collapsed="false">
      <c r="A75" s="11" t="s">
        <v>1464</v>
      </c>
      <c r="B75" s="11" t="s">
        <v>1465</v>
      </c>
      <c r="C75" s="11" t="s">
        <v>1466</v>
      </c>
      <c r="D75" s="11" t="s">
        <v>550</v>
      </c>
      <c r="E75" s="11" t="s">
        <v>59</v>
      </c>
      <c r="F75" s="11" t="s">
        <v>60</v>
      </c>
      <c r="G75" s="11"/>
      <c r="H75" s="11"/>
      <c r="I75" s="11"/>
      <c r="J75" s="7" t="str">
        <f aca="false">IF(A75="","",IF(AND(F75="Approved",G75&lt;&gt;"",H75&lt;&gt;""),"Ready","Not yet"))</f>
        <v>Not yet</v>
      </c>
    </row>
    <row r="76" customFormat="false" ht="15" hidden="false" customHeight="true" outlineLevel="0" collapsed="false">
      <c r="A76" s="11" t="s">
        <v>1143</v>
      </c>
      <c r="B76" s="11" t="s">
        <v>1467</v>
      </c>
      <c r="C76" s="11" t="s">
        <v>1147</v>
      </c>
      <c r="D76" s="11" t="s">
        <v>487</v>
      </c>
      <c r="E76" s="11" t="s">
        <v>59</v>
      </c>
      <c r="F76" s="11" t="s">
        <v>60</v>
      </c>
      <c r="G76" s="11"/>
      <c r="H76" s="11"/>
      <c r="I76" s="11"/>
      <c r="J76" s="7" t="str">
        <f aca="false">IF(A76="","",IF(AND(F76="Approved",G76&lt;&gt;"",H76&lt;&gt;""),"Ready","Not yet"))</f>
        <v>Not yet</v>
      </c>
    </row>
    <row r="77" customFormat="false" ht="15" hidden="false" customHeight="true" outlineLevel="0" collapsed="false">
      <c r="A77" s="11" t="s">
        <v>457</v>
      </c>
      <c r="B77" s="11" t="s">
        <v>459</v>
      </c>
      <c r="C77" s="11" t="s">
        <v>460</v>
      </c>
      <c r="D77" s="11" t="s">
        <v>451</v>
      </c>
      <c r="E77" s="11" t="s">
        <v>59</v>
      </c>
      <c r="F77" s="11" t="s">
        <v>60</v>
      </c>
      <c r="G77" s="11"/>
      <c r="H77" s="11"/>
      <c r="I77" s="11"/>
      <c r="J77" s="7" t="str">
        <f aca="false">IF(A77="","",IF(AND(F77="Approved",G77&lt;&gt;"",H77&lt;&gt;""),"Ready","Not yet"))</f>
        <v>Not yet</v>
      </c>
    </row>
    <row r="78" customFormat="false" ht="15" hidden="false" customHeight="true" outlineLevel="0" collapsed="false">
      <c r="A78" s="11" t="s">
        <v>1468</v>
      </c>
      <c r="B78" s="11" t="s">
        <v>1469</v>
      </c>
      <c r="C78" s="11" t="s">
        <v>1470</v>
      </c>
      <c r="D78" s="11" t="s">
        <v>377</v>
      </c>
      <c r="E78" s="11" t="s">
        <v>59</v>
      </c>
      <c r="F78" s="11" t="s">
        <v>60</v>
      </c>
      <c r="G78" s="11"/>
      <c r="H78" s="11"/>
      <c r="I78" s="11"/>
      <c r="J78" s="7" t="str">
        <f aca="false">IF(A78="","",IF(AND(F78="Approved",G78&lt;&gt;"",H78&lt;&gt;""),"Ready","Not yet"))</f>
        <v>Not yet</v>
      </c>
    </row>
    <row r="79" customFormat="false" ht="15" hidden="false" customHeight="true" outlineLevel="0" collapsed="false">
      <c r="A79" s="11" t="s">
        <v>1471</v>
      </c>
      <c r="B79" s="11" t="s">
        <v>1472</v>
      </c>
      <c r="C79" s="11" t="s">
        <v>1473</v>
      </c>
      <c r="D79" s="11" t="s">
        <v>451</v>
      </c>
      <c r="E79" s="11" t="s">
        <v>59</v>
      </c>
      <c r="F79" s="11" t="s">
        <v>60</v>
      </c>
      <c r="G79" s="11"/>
      <c r="H79" s="11"/>
      <c r="I79" s="11"/>
      <c r="J79" s="7" t="str">
        <f aca="false">IF(A79="","",IF(AND(F79="Approved",G79&lt;&gt;"",H79&lt;&gt;""),"Ready","Not yet"))</f>
        <v>Not yet</v>
      </c>
    </row>
    <row r="80" customFormat="false" ht="15" hidden="false" customHeight="true" outlineLevel="0" collapsed="false">
      <c r="A80" s="11" t="s">
        <v>436</v>
      </c>
      <c r="B80" s="11" t="s">
        <v>438</v>
      </c>
      <c r="C80" s="11" t="s">
        <v>439</v>
      </c>
      <c r="D80" s="11" t="s">
        <v>377</v>
      </c>
      <c r="E80" s="11" t="s">
        <v>59</v>
      </c>
      <c r="F80" s="11" t="s">
        <v>60</v>
      </c>
      <c r="G80" s="11"/>
      <c r="H80" s="11"/>
      <c r="I80" s="11"/>
      <c r="J80" s="7" t="str">
        <f aca="false">IF(A80="","",IF(AND(F80="Approved",G80&lt;&gt;"",H80&lt;&gt;""),"Ready","Not yet"))</f>
        <v>Not yet</v>
      </c>
    </row>
    <row r="81" customFormat="false" ht="15" hidden="false" customHeight="true" outlineLevel="0" collapsed="false">
      <c r="A81" s="11" t="s">
        <v>1474</v>
      </c>
      <c r="B81" s="11" t="s">
        <v>1475</v>
      </c>
      <c r="C81" s="11" t="s">
        <v>1476</v>
      </c>
      <c r="D81" s="11" t="s">
        <v>451</v>
      </c>
      <c r="E81" s="11" t="s">
        <v>59</v>
      </c>
      <c r="F81" s="11" t="s">
        <v>60</v>
      </c>
      <c r="G81" s="11"/>
      <c r="H81" s="11"/>
      <c r="I81" s="11"/>
      <c r="J81" s="7" t="str">
        <f aca="false">IF(A81="","",IF(AND(F81="Approved",G81&lt;&gt;"",H81&lt;&gt;""),"Ready","Not yet"))</f>
        <v>Not yet</v>
      </c>
    </row>
    <row r="82" customFormat="false" ht="15" hidden="false" customHeight="true" outlineLevel="0" collapsed="false">
      <c r="A82" s="11" t="s">
        <v>514</v>
      </c>
      <c r="B82" s="11" t="s">
        <v>516</v>
      </c>
      <c r="C82" s="11" t="s">
        <v>1477</v>
      </c>
      <c r="D82" s="11" t="s">
        <v>498</v>
      </c>
      <c r="E82" s="11" t="s">
        <v>59</v>
      </c>
      <c r="F82" s="11" t="s">
        <v>60</v>
      </c>
      <c r="G82" s="11"/>
      <c r="H82" s="11"/>
      <c r="I82" s="11"/>
      <c r="J82" s="7" t="str">
        <f aca="false">IF(A82="","",IF(AND(F82="Approved",G82&lt;&gt;"",H82&lt;&gt;""),"Ready","Not yet"))</f>
        <v>Not yet</v>
      </c>
    </row>
    <row r="83" customFormat="false" ht="15" hidden="false" customHeight="true" outlineLevel="0" collapsed="false">
      <c r="A83" s="11" t="s">
        <v>1478</v>
      </c>
      <c r="B83" s="11" t="s">
        <v>1479</v>
      </c>
      <c r="C83" s="11" t="s">
        <v>1480</v>
      </c>
      <c r="D83" s="11" t="s">
        <v>683</v>
      </c>
      <c r="E83" s="11" t="s">
        <v>59</v>
      </c>
      <c r="F83" s="11" t="s">
        <v>60</v>
      </c>
      <c r="G83" s="11"/>
      <c r="H83" s="11"/>
      <c r="I83" s="11"/>
      <c r="J83" s="7" t="str">
        <f aca="false">IF(A83="","",IF(AND(F83="Approved",G83&lt;&gt;"",H83&lt;&gt;""),"Ready","Not yet"))</f>
        <v>Not yet</v>
      </c>
    </row>
    <row r="84" customFormat="false" ht="15" hidden="false" customHeight="true" outlineLevel="0" collapsed="false">
      <c r="A84" s="11" t="s">
        <v>1481</v>
      </c>
      <c r="B84" s="11" t="s">
        <v>1482</v>
      </c>
      <c r="C84" s="11" t="s">
        <v>1483</v>
      </c>
      <c r="D84" s="11" t="s">
        <v>529</v>
      </c>
      <c r="E84" s="11" t="s">
        <v>59</v>
      </c>
      <c r="F84" s="11" t="s">
        <v>60</v>
      </c>
      <c r="G84" s="11"/>
      <c r="H84" s="11"/>
      <c r="I84" s="11"/>
      <c r="J84" s="7" t="str">
        <f aca="false">IF(A84="","",IF(AND(F84="Approved",G84&lt;&gt;"",H84&lt;&gt;""),"Ready","Not yet"))</f>
        <v>Not yet</v>
      </c>
    </row>
    <row r="85" customFormat="false" ht="15" hidden="false" customHeight="true" outlineLevel="0" collapsed="false">
      <c r="A85" s="11" t="s">
        <v>1484</v>
      </c>
      <c r="B85" s="11" t="s">
        <v>1485</v>
      </c>
      <c r="C85" s="11" t="s">
        <v>1486</v>
      </c>
      <c r="D85" s="11" t="s">
        <v>451</v>
      </c>
      <c r="E85" s="11" t="s">
        <v>59</v>
      </c>
      <c r="F85" s="11" t="s">
        <v>60</v>
      </c>
      <c r="G85" s="11"/>
      <c r="H85" s="11"/>
      <c r="I85" s="11"/>
      <c r="J85" s="7" t="str">
        <f aca="false">IF(A85="","",IF(AND(F85="Approved",G85&lt;&gt;"",H85&lt;&gt;""),"Ready","Not yet"))</f>
        <v>Not yet</v>
      </c>
    </row>
    <row r="86" customFormat="false" ht="15" hidden="false" customHeight="true" outlineLevel="0" collapsed="false">
      <c r="A86" s="11" t="s">
        <v>1487</v>
      </c>
      <c r="B86" s="11" t="s">
        <v>1488</v>
      </c>
      <c r="C86" s="11" t="s">
        <v>1489</v>
      </c>
      <c r="D86" s="11" t="s">
        <v>498</v>
      </c>
      <c r="E86" s="11" t="s">
        <v>59</v>
      </c>
      <c r="F86" s="11" t="s">
        <v>60</v>
      </c>
      <c r="G86" s="11"/>
      <c r="H86" s="11"/>
      <c r="I86" s="11"/>
      <c r="J86" s="7" t="str">
        <f aca="false">IF(A86="","",IF(AND(F86="Approved",G86&lt;&gt;"",H86&lt;&gt;""),"Ready","Not yet"))</f>
        <v>Not yet</v>
      </c>
    </row>
    <row r="87" customFormat="false" ht="15" hidden="false" customHeight="true" outlineLevel="0" collapsed="false">
      <c r="A87" s="11" t="s">
        <v>1490</v>
      </c>
      <c r="B87" s="11" t="s">
        <v>1491</v>
      </c>
      <c r="C87" s="11" t="s">
        <v>1492</v>
      </c>
      <c r="D87" s="11" t="s">
        <v>529</v>
      </c>
      <c r="E87" s="11" t="s">
        <v>59</v>
      </c>
      <c r="F87" s="11" t="s">
        <v>60</v>
      </c>
      <c r="G87" s="11"/>
      <c r="H87" s="11"/>
      <c r="I87" s="11"/>
      <c r="J87" s="7" t="str">
        <f aca="false">IF(A87="","",IF(AND(F87="Approved",G87&lt;&gt;"",H87&lt;&gt;""),"Ready","Not yet"))</f>
        <v>Not yet</v>
      </c>
    </row>
    <row r="88" customFormat="false" ht="15" hidden="false" customHeight="true" outlineLevel="0" collapsed="false">
      <c r="A88" s="11" t="s">
        <v>1493</v>
      </c>
      <c r="B88" s="11" t="s">
        <v>1494</v>
      </c>
      <c r="C88" s="11" t="s">
        <v>1495</v>
      </c>
      <c r="D88" s="11" t="s">
        <v>550</v>
      </c>
      <c r="E88" s="11" t="s">
        <v>59</v>
      </c>
      <c r="F88" s="11" t="s">
        <v>60</v>
      </c>
      <c r="G88" s="11"/>
      <c r="H88" s="11"/>
      <c r="I88" s="11"/>
      <c r="J88" s="7" t="str">
        <f aca="false">IF(A88="","",IF(AND(F88="Approved",G88&lt;&gt;"",H88&lt;&gt;""),"Ready","Not yet"))</f>
        <v>Not yet</v>
      </c>
    </row>
    <row r="89" customFormat="false" ht="15" hidden="false" customHeight="true" outlineLevel="0" collapsed="false">
      <c r="A89" s="11" t="s">
        <v>1496</v>
      </c>
      <c r="B89" s="11" t="s">
        <v>1497</v>
      </c>
      <c r="C89" s="11" t="s">
        <v>1498</v>
      </c>
      <c r="D89" s="11" t="s">
        <v>377</v>
      </c>
      <c r="E89" s="11" t="s">
        <v>59</v>
      </c>
      <c r="F89" s="11" t="s">
        <v>60</v>
      </c>
      <c r="G89" s="11"/>
      <c r="H89" s="11"/>
      <c r="I89" s="11"/>
      <c r="J89" s="7" t="str">
        <f aca="false">IF(A89="","",IF(AND(F89="Approved",G89&lt;&gt;"",H89&lt;&gt;""),"Ready","Not yet"))</f>
        <v>Not yet</v>
      </c>
    </row>
    <row r="90" customFormat="false" ht="15" hidden="false" customHeight="true" outlineLevel="0" collapsed="false">
      <c r="A90" s="11" t="s">
        <v>1499</v>
      </c>
      <c r="B90" s="11" t="s">
        <v>1500</v>
      </c>
      <c r="C90" s="11" t="s">
        <v>1501</v>
      </c>
      <c r="D90" s="11" t="s">
        <v>1437</v>
      </c>
      <c r="E90" s="11" t="s">
        <v>59</v>
      </c>
      <c r="F90" s="11" t="s">
        <v>60</v>
      </c>
      <c r="G90" s="11"/>
      <c r="H90" s="11"/>
      <c r="I90" s="11"/>
      <c r="J90" s="7" t="str">
        <f aca="false">IF(A90="","",IF(AND(F90="Approved",G90&lt;&gt;"",H90&lt;&gt;""),"Ready","Not yet"))</f>
        <v>Not yet</v>
      </c>
    </row>
    <row r="91" customFormat="false" ht="15" hidden="false" customHeight="true" outlineLevel="0" collapsed="false">
      <c r="A91" s="11" t="s">
        <v>1502</v>
      </c>
      <c r="B91" s="11" t="s">
        <v>1503</v>
      </c>
      <c r="C91" s="11" t="s">
        <v>1504</v>
      </c>
      <c r="D91" s="11" t="s">
        <v>550</v>
      </c>
      <c r="E91" s="11" t="s">
        <v>59</v>
      </c>
      <c r="F91" s="11" t="s">
        <v>60</v>
      </c>
      <c r="G91" s="11"/>
      <c r="H91" s="11"/>
      <c r="I91" s="11"/>
      <c r="J91" s="7" t="str">
        <f aca="false">IF(A91="","",IF(AND(F91="Approved",G91&lt;&gt;"",H91&lt;&gt;""),"Ready","Not yet"))</f>
        <v>Not yet</v>
      </c>
    </row>
    <row r="92" customFormat="false" ht="15" hidden="false" customHeight="true" outlineLevel="0" collapsed="false">
      <c r="A92" s="11" t="s">
        <v>1505</v>
      </c>
      <c r="B92" s="11" t="s">
        <v>1506</v>
      </c>
      <c r="C92" s="11" t="s">
        <v>1507</v>
      </c>
      <c r="D92" s="11" t="s">
        <v>498</v>
      </c>
      <c r="E92" s="11" t="s">
        <v>59</v>
      </c>
      <c r="F92" s="11" t="s">
        <v>60</v>
      </c>
      <c r="G92" s="11"/>
      <c r="H92" s="11"/>
      <c r="I92" s="11"/>
      <c r="J92" s="7" t="str">
        <f aca="false">IF(A92="","",IF(AND(F92="Approved",G92&lt;&gt;"",H92&lt;&gt;""),"Ready","Not yet"))</f>
        <v>Not yet</v>
      </c>
    </row>
    <row r="93" customFormat="false" ht="15" hidden="false" customHeight="true" outlineLevel="0" collapsed="false">
      <c r="A93" s="11" t="s">
        <v>1508</v>
      </c>
      <c r="B93" s="11" t="s">
        <v>1509</v>
      </c>
      <c r="C93" s="11" t="s">
        <v>1510</v>
      </c>
      <c r="D93" s="11" t="s">
        <v>377</v>
      </c>
      <c r="E93" s="11" t="s">
        <v>59</v>
      </c>
      <c r="F93" s="11" t="s">
        <v>60</v>
      </c>
      <c r="G93" s="11"/>
      <c r="H93" s="11"/>
      <c r="I93" s="11"/>
      <c r="J93" s="7" t="str">
        <f aca="false">IF(A93="","",IF(AND(F93="Approved",G93&lt;&gt;"",H93&lt;&gt;""),"Ready","Not yet"))</f>
        <v>Not yet</v>
      </c>
    </row>
    <row r="94" customFormat="false" ht="15" hidden="false" customHeight="true" outlineLevel="0" collapsed="false">
      <c r="A94" s="11" t="s">
        <v>1511</v>
      </c>
      <c r="B94" s="11" t="s">
        <v>1512</v>
      </c>
      <c r="C94" s="11" t="s">
        <v>1513</v>
      </c>
      <c r="D94" s="11" t="s">
        <v>683</v>
      </c>
      <c r="E94" s="11" t="s">
        <v>59</v>
      </c>
      <c r="F94" s="11" t="s">
        <v>60</v>
      </c>
      <c r="G94" s="11"/>
      <c r="H94" s="11"/>
      <c r="I94" s="11"/>
      <c r="J94" s="7" t="str">
        <f aca="false">IF(A94="","",IF(AND(F94="Approved",G94&lt;&gt;"",H94&lt;&gt;""),"Ready","Not yet"))</f>
        <v>Not yet</v>
      </c>
    </row>
    <row r="95" customFormat="false" ht="15" hidden="false" customHeight="true" outlineLevel="0" collapsed="false">
      <c r="A95" s="11" t="s">
        <v>1514</v>
      </c>
      <c r="B95" s="11" t="s">
        <v>1515</v>
      </c>
      <c r="C95" s="11" t="s">
        <v>1516</v>
      </c>
      <c r="D95" s="11" t="s">
        <v>683</v>
      </c>
      <c r="E95" s="11" t="s">
        <v>59</v>
      </c>
      <c r="F95" s="11" t="s">
        <v>60</v>
      </c>
      <c r="G95" s="11"/>
      <c r="H95" s="11"/>
      <c r="I95" s="11"/>
      <c r="J95" s="7" t="str">
        <f aca="false">IF(A95="","",IF(AND(F95="Approved",G95&lt;&gt;"",H95&lt;&gt;""),"Ready","Not yet"))</f>
        <v>Not yet</v>
      </c>
    </row>
    <row r="96" customFormat="false" ht="15" hidden="false" customHeight="true" outlineLevel="0" collapsed="false">
      <c r="A96" s="11" t="s">
        <v>1517</v>
      </c>
      <c r="B96" s="11" t="s">
        <v>1518</v>
      </c>
      <c r="C96" s="11" t="s">
        <v>1519</v>
      </c>
      <c r="D96" s="11" t="s">
        <v>683</v>
      </c>
      <c r="E96" s="11" t="s">
        <v>59</v>
      </c>
      <c r="F96" s="11" t="s">
        <v>60</v>
      </c>
      <c r="G96" s="11"/>
      <c r="H96" s="11"/>
      <c r="I96" s="11"/>
      <c r="J96" s="7" t="str">
        <f aca="false">IF(A96="","",IF(AND(F96="Approved",G96&lt;&gt;"",H96&lt;&gt;""),"Ready","Not yet"))</f>
        <v>Not yet</v>
      </c>
    </row>
    <row r="97" customFormat="false" ht="15" hidden="false" customHeight="true" outlineLevel="0" collapsed="false">
      <c r="A97" s="11" t="s">
        <v>1520</v>
      </c>
      <c r="B97" s="11" t="s">
        <v>1521</v>
      </c>
      <c r="C97" s="11" t="s">
        <v>1522</v>
      </c>
      <c r="D97" s="11" t="s">
        <v>498</v>
      </c>
      <c r="E97" s="11" t="s">
        <v>59</v>
      </c>
      <c r="F97" s="11" t="s">
        <v>60</v>
      </c>
      <c r="G97" s="11"/>
      <c r="H97" s="11"/>
      <c r="I97" s="11"/>
      <c r="J97" s="7" t="str">
        <f aca="false">IF(A97="","",IF(AND(F97="Approved",G97&lt;&gt;"",H97&lt;&gt;""),"Ready","Not yet"))</f>
        <v>Not yet</v>
      </c>
    </row>
    <row r="98" customFormat="false" ht="15" hidden="false" customHeight="true" outlineLevel="0" collapsed="false">
      <c r="A98" s="11" t="s">
        <v>1523</v>
      </c>
      <c r="B98" s="11" t="s">
        <v>1524</v>
      </c>
      <c r="C98" s="11" t="s">
        <v>1525</v>
      </c>
      <c r="D98" s="11" t="s">
        <v>498</v>
      </c>
      <c r="E98" s="11" t="s">
        <v>59</v>
      </c>
      <c r="F98" s="11" t="s">
        <v>60</v>
      </c>
      <c r="G98" s="11"/>
      <c r="H98" s="11"/>
      <c r="I98" s="11"/>
      <c r="J98" s="7" t="str">
        <f aca="false">IF(A98="","",IF(AND(F98="Approved",G98&lt;&gt;"",H98&lt;&gt;""),"Ready","Not yet"))</f>
        <v>Not yet</v>
      </c>
    </row>
    <row r="99" customFormat="false" ht="15" hidden="false" customHeight="true" outlineLevel="0" collapsed="false">
      <c r="A99" s="11" t="s">
        <v>1526</v>
      </c>
      <c r="B99" s="11" t="s">
        <v>1527</v>
      </c>
      <c r="C99" s="11" t="s">
        <v>1528</v>
      </c>
      <c r="D99" s="11" t="s">
        <v>451</v>
      </c>
      <c r="E99" s="11" t="s">
        <v>59</v>
      </c>
      <c r="F99" s="11" t="s">
        <v>60</v>
      </c>
      <c r="G99" s="11"/>
      <c r="H99" s="11"/>
      <c r="I99" s="11"/>
      <c r="J99" s="7" t="str">
        <f aca="false">IF(A99="","",IF(AND(F99="Approved",G99&lt;&gt;"",H99&lt;&gt;""),"Ready","Not yet"))</f>
        <v>Not yet</v>
      </c>
    </row>
    <row r="100" customFormat="false" ht="15" hidden="false" customHeight="true" outlineLevel="0" collapsed="false">
      <c r="A100" s="11" t="s">
        <v>1529</v>
      </c>
      <c r="B100" s="11" t="s">
        <v>1530</v>
      </c>
      <c r="C100" s="11" t="s">
        <v>1531</v>
      </c>
      <c r="D100" s="11" t="s">
        <v>683</v>
      </c>
      <c r="E100" s="11" t="s">
        <v>59</v>
      </c>
      <c r="F100" s="11" t="s">
        <v>60</v>
      </c>
      <c r="G100" s="11"/>
      <c r="H100" s="11"/>
      <c r="I100" s="11"/>
      <c r="J100" s="7" t="str">
        <f aca="false">IF(A100="","",IF(AND(F100="Approved",G100&lt;&gt;"",H100&lt;&gt;""),"Ready","Not yet"))</f>
        <v>Not yet</v>
      </c>
    </row>
    <row r="101" customFormat="false" ht="15" hidden="false" customHeight="true" outlineLevel="0" collapsed="false">
      <c r="A101" s="11" t="s">
        <v>1532</v>
      </c>
      <c r="B101" s="11" t="s">
        <v>1533</v>
      </c>
      <c r="C101" s="11" t="s">
        <v>1534</v>
      </c>
      <c r="D101" s="11" t="s">
        <v>377</v>
      </c>
      <c r="E101" s="11" t="s">
        <v>59</v>
      </c>
      <c r="F101" s="11" t="s">
        <v>60</v>
      </c>
      <c r="G101" s="11"/>
      <c r="H101" s="11"/>
      <c r="I101" s="11"/>
      <c r="J101" s="7" t="str">
        <f aca="false">IF(A101="","",IF(AND(F101="Approved",G101&lt;&gt;"",H101&lt;&gt;""),"Ready","Not yet"))</f>
        <v>Not yet</v>
      </c>
    </row>
    <row r="102" customFormat="false" ht="15" hidden="false" customHeight="true" outlineLevel="0" collapsed="false">
      <c r="A102" s="11" t="s">
        <v>1535</v>
      </c>
      <c r="B102" s="11" t="s">
        <v>1536</v>
      </c>
      <c r="C102" s="11" t="s">
        <v>1537</v>
      </c>
      <c r="D102" s="11" t="s">
        <v>377</v>
      </c>
      <c r="E102" s="11" t="s">
        <v>59</v>
      </c>
      <c r="F102" s="11" t="s">
        <v>60</v>
      </c>
      <c r="G102" s="11"/>
      <c r="H102" s="11"/>
      <c r="I102" s="11"/>
      <c r="J102" s="7" t="str">
        <f aca="false">IF(A102="","",IF(AND(F102="Approved",G102&lt;&gt;"",H102&lt;&gt;""),"Ready","Not yet"))</f>
        <v>Not yet</v>
      </c>
    </row>
    <row r="103" customFormat="false" ht="15" hidden="false" customHeight="true" outlineLevel="0" collapsed="false">
      <c r="A103" s="11" t="s">
        <v>1538</v>
      </c>
      <c r="B103" s="11" t="s">
        <v>1539</v>
      </c>
      <c r="C103" s="11" t="s">
        <v>1540</v>
      </c>
      <c r="D103" s="11" t="s">
        <v>683</v>
      </c>
      <c r="E103" s="11" t="s">
        <v>59</v>
      </c>
      <c r="F103" s="11" t="s">
        <v>60</v>
      </c>
      <c r="G103" s="11"/>
      <c r="H103" s="11"/>
      <c r="I103" s="11"/>
      <c r="J103" s="7" t="str">
        <f aca="false">IF(A103="","",IF(AND(F103="Approved",G103&lt;&gt;"",H103&lt;&gt;""),"Ready","Not yet"))</f>
        <v>Not yet</v>
      </c>
    </row>
    <row r="104" customFormat="false" ht="15" hidden="false" customHeight="true" outlineLevel="0" collapsed="false">
      <c r="A104" s="11" t="s">
        <v>1541</v>
      </c>
      <c r="B104" s="11" t="s">
        <v>1542</v>
      </c>
      <c r="C104" s="11" t="s">
        <v>1543</v>
      </c>
      <c r="D104" s="11" t="s">
        <v>377</v>
      </c>
      <c r="E104" s="11" t="s">
        <v>59</v>
      </c>
      <c r="F104" s="11" t="s">
        <v>60</v>
      </c>
      <c r="G104" s="11"/>
      <c r="H104" s="11"/>
      <c r="I104" s="11"/>
      <c r="J104" s="7" t="str">
        <f aca="false">IF(A104="","",IF(AND(F104="Approved",G104&lt;&gt;"",H104&lt;&gt;""),"Ready","Not yet"))</f>
        <v>Not yet</v>
      </c>
    </row>
    <row r="105" customFormat="false" ht="15" hidden="false" customHeight="true" outlineLevel="0" collapsed="false">
      <c r="A105" s="11" t="s">
        <v>1544</v>
      </c>
      <c r="B105" s="11" t="s">
        <v>1545</v>
      </c>
      <c r="C105" s="11" t="s">
        <v>1546</v>
      </c>
      <c r="D105" s="11" t="s">
        <v>498</v>
      </c>
      <c r="E105" s="11" t="s">
        <v>59</v>
      </c>
      <c r="F105" s="11" t="s">
        <v>60</v>
      </c>
      <c r="G105" s="11"/>
      <c r="H105" s="11"/>
      <c r="I105" s="11"/>
      <c r="J105" s="7" t="str">
        <f aca="false">IF(A105="","",IF(AND(F105="Approved",G105&lt;&gt;"",H105&lt;&gt;""),"Ready","Not yet"))</f>
        <v>Not yet</v>
      </c>
    </row>
    <row r="106" customFormat="false" ht="15" hidden="false" customHeight="true" outlineLevel="0" collapsed="false">
      <c r="A106" s="11" t="s">
        <v>1547</v>
      </c>
      <c r="B106" s="11" t="s">
        <v>1548</v>
      </c>
      <c r="C106" s="11" t="s">
        <v>1549</v>
      </c>
      <c r="D106" s="11" t="s">
        <v>451</v>
      </c>
      <c r="E106" s="11" t="s">
        <v>59</v>
      </c>
      <c r="F106" s="11" t="s">
        <v>60</v>
      </c>
      <c r="G106" s="11"/>
      <c r="H106" s="11"/>
      <c r="I106" s="11"/>
      <c r="J106" s="7" t="str">
        <f aca="false">IF(A106="","",IF(AND(F106="Approved",G106&lt;&gt;"",H106&lt;&gt;""),"Ready","Not yet"))</f>
        <v>Not yet</v>
      </c>
    </row>
    <row r="107" customFormat="false" ht="15" hidden="false" customHeight="true" outlineLevel="0" collapsed="false">
      <c r="A107" s="11" t="s">
        <v>1550</v>
      </c>
      <c r="B107" s="11" t="s">
        <v>1551</v>
      </c>
      <c r="C107" s="11" t="s">
        <v>1552</v>
      </c>
      <c r="D107" s="11" t="s">
        <v>550</v>
      </c>
      <c r="E107" s="11" t="s">
        <v>59</v>
      </c>
      <c r="F107" s="11" t="s">
        <v>60</v>
      </c>
      <c r="G107" s="11"/>
      <c r="H107" s="11"/>
      <c r="I107" s="11"/>
      <c r="J107" s="7" t="str">
        <f aca="false">IF(A107="","",IF(AND(F107="Approved",G107&lt;&gt;"",H107&lt;&gt;""),"Ready","Not yet"))</f>
        <v>Not yet</v>
      </c>
    </row>
    <row r="108" customFormat="false" ht="15" hidden="false" customHeight="true" outlineLevel="0" collapsed="false">
      <c r="A108" s="11" t="s">
        <v>1553</v>
      </c>
      <c r="B108" s="11" t="s">
        <v>1554</v>
      </c>
      <c r="C108" s="11" t="s">
        <v>1555</v>
      </c>
      <c r="D108" s="11" t="s">
        <v>576</v>
      </c>
      <c r="E108" s="11" t="s">
        <v>59</v>
      </c>
      <c r="F108" s="11" t="s">
        <v>60</v>
      </c>
      <c r="G108" s="11"/>
      <c r="H108" s="11"/>
      <c r="I108" s="11"/>
      <c r="J108" s="7" t="str">
        <f aca="false">IF(A108="","",IF(AND(F108="Approved",G108&lt;&gt;"",H108&lt;&gt;""),"Ready","Not yet"))</f>
        <v>Not yet</v>
      </c>
    </row>
    <row r="109" customFormat="false" ht="15" hidden="false" customHeight="true" outlineLevel="0" collapsed="false">
      <c r="A109" s="11" t="s">
        <v>1556</v>
      </c>
      <c r="B109" s="11" t="s">
        <v>1557</v>
      </c>
      <c r="C109" s="11" t="s">
        <v>1558</v>
      </c>
      <c r="D109" s="11" t="s">
        <v>683</v>
      </c>
      <c r="E109" s="11" t="s">
        <v>59</v>
      </c>
      <c r="F109" s="11" t="s">
        <v>60</v>
      </c>
      <c r="G109" s="11"/>
      <c r="H109" s="11"/>
      <c r="I109" s="11"/>
      <c r="J109" s="7" t="str">
        <f aca="false">IF(A109="","",IF(AND(F109="Approved",G109&lt;&gt;"",H109&lt;&gt;""),"Ready","Not yet"))</f>
        <v>Not yet</v>
      </c>
    </row>
    <row r="110" customFormat="false" ht="15" hidden="false" customHeight="true" outlineLevel="0" collapsed="false">
      <c r="A110" s="11" t="s">
        <v>1559</v>
      </c>
      <c r="B110" s="11" t="s">
        <v>1560</v>
      </c>
      <c r="C110" s="11" t="s">
        <v>1561</v>
      </c>
      <c r="D110" s="11" t="s">
        <v>377</v>
      </c>
      <c r="E110" s="11" t="s">
        <v>59</v>
      </c>
      <c r="F110" s="11" t="s">
        <v>60</v>
      </c>
      <c r="G110" s="11"/>
      <c r="H110" s="11"/>
      <c r="I110" s="11"/>
      <c r="J110" s="7" t="str">
        <f aca="false">IF(A110="","",IF(AND(F110="Approved",G110&lt;&gt;"",H110&lt;&gt;""),"Ready","Not yet"))</f>
        <v>Not yet</v>
      </c>
    </row>
    <row r="111" customFormat="false" ht="15" hidden="false" customHeight="true" outlineLevel="0" collapsed="false">
      <c r="A111" s="11" t="s">
        <v>139</v>
      </c>
      <c r="B111" s="11" t="s">
        <v>1562</v>
      </c>
      <c r="C111" s="11" t="s">
        <v>1563</v>
      </c>
      <c r="D111" s="11" t="s">
        <v>576</v>
      </c>
      <c r="E111" s="11" t="s">
        <v>59</v>
      </c>
      <c r="F111" s="11" t="s">
        <v>60</v>
      </c>
      <c r="G111" s="11"/>
      <c r="H111" s="11"/>
      <c r="I111" s="11"/>
      <c r="J111" s="7" t="str">
        <f aca="false">IF(A111="","",IF(AND(F111="Approved",G111&lt;&gt;"",H111&lt;&gt;""),"Ready","Not yet"))</f>
        <v>Not yet</v>
      </c>
    </row>
    <row r="112" customFormat="false" ht="15" hidden="false" customHeight="true" outlineLevel="0" collapsed="false">
      <c r="A112" s="11" t="s">
        <v>1564</v>
      </c>
      <c r="B112" s="11" t="s">
        <v>1565</v>
      </c>
      <c r="C112" s="11" t="s">
        <v>1566</v>
      </c>
      <c r="D112" s="11" t="s">
        <v>576</v>
      </c>
      <c r="E112" s="11" t="s">
        <v>59</v>
      </c>
      <c r="F112" s="11" t="s">
        <v>60</v>
      </c>
      <c r="G112" s="11"/>
      <c r="H112" s="11"/>
      <c r="I112" s="11"/>
      <c r="J112" s="7" t="str">
        <f aca="false">IF(A112="","",IF(AND(F112="Approved",G112&lt;&gt;"",H112&lt;&gt;""),"Ready","Not yet"))</f>
        <v>Not yet</v>
      </c>
    </row>
    <row r="113" customFormat="false" ht="15" hidden="false" customHeight="true" outlineLevel="0" collapsed="false">
      <c r="A113" s="11" t="s">
        <v>1567</v>
      </c>
      <c r="B113" s="11" t="s">
        <v>1568</v>
      </c>
      <c r="C113" s="11" t="s">
        <v>1569</v>
      </c>
      <c r="D113" s="11" t="s">
        <v>451</v>
      </c>
      <c r="E113" s="11" t="s">
        <v>59</v>
      </c>
      <c r="F113" s="11" t="s">
        <v>60</v>
      </c>
      <c r="G113" s="11"/>
      <c r="H113" s="11"/>
      <c r="I113" s="11"/>
      <c r="J113" s="7" t="str">
        <f aca="false">IF(A113="","",IF(AND(F113="Approved",G113&lt;&gt;"",H113&lt;&gt;""),"Ready","Not yet"))</f>
        <v>Not yet</v>
      </c>
    </row>
    <row r="114" customFormat="false" ht="15" hidden="false" customHeight="true" outlineLevel="0" collapsed="false">
      <c r="A114" s="11" t="s">
        <v>1570</v>
      </c>
      <c r="B114" s="11" t="s">
        <v>1571</v>
      </c>
      <c r="C114" s="11" t="s">
        <v>1572</v>
      </c>
      <c r="D114" s="11" t="s">
        <v>451</v>
      </c>
      <c r="E114" s="11" t="s">
        <v>59</v>
      </c>
      <c r="F114" s="11" t="s">
        <v>60</v>
      </c>
      <c r="G114" s="11"/>
      <c r="H114" s="11"/>
      <c r="I114" s="11"/>
      <c r="J114" s="7" t="str">
        <f aca="false">IF(A114="","",IF(AND(F114="Approved",G114&lt;&gt;"",H114&lt;&gt;""),"Ready","Not yet"))</f>
        <v>Not yet</v>
      </c>
    </row>
    <row r="115" customFormat="false" ht="15" hidden="false" customHeight="true" outlineLevel="0" collapsed="false">
      <c r="A115" s="11" t="s">
        <v>1573</v>
      </c>
      <c r="B115" s="11" t="s">
        <v>1574</v>
      </c>
      <c r="C115" s="11" t="s">
        <v>1575</v>
      </c>
      <c r="D115" s="11" t="s">
        <v>451</v>
      </c>
      <c r="E115" s="11" t="s">
        <v>59</v>
      </c>
      <c r="F115" s="11" t="s">
        <v>60</v>
      </c>
      <c r="G115" s="11"/>
      <c r="H115" s="11"/>
      <c r="I115" s="11"/>
      <c r="J115" s="7" t="str">
        <f aca="false">IF(A115="","",IF(AND(F115="Approved",G115&lt;&gt;"",H115&lt;&gt;""),"Ready","Not yet"))</f>
        <v>Not yet</v>
      </c>
    </row>
    <row r="116" customFormat="false" ht="15" hidden="false" customHeight="true" outlineLevel="0" collapsed="false">
      <c r="A116" s="11" t="s">
        <v>1576</v>
      </c>
      <c r="B116" s="11" t="s">
        <v>1577</v>
      </c>
      <c r="C116" s="11" t="s">
        <v>1578</v>
      </c>
      <c r="D116" s="11" t="s">
        <v>498</v>
      </c>
      <c r="E116" s="11" t="s">
        <v>59</v>
      </c>
      <c r="F116" s="11" t="s">
        <v>60</v>
      </c>
      <c r="G116" s="11"/>
      <c r="H116" s="11"/>
      <c r="I116" s="11"/>
      <c r="J116" s="7" t="str">
        <f aca="false">IF(A116="","",IF(AND(F116="Approved",G116&lt;&gt;"",H116&lt;&gt;""),"Ready","Not yet"))</f>
        <v>Not yet</v>
      </c>
    </row>
    <row r="117" customFormat="false" ht="15" hidden="false" customHeight="true" outlineLevel="0" collapsed="false">
      <c r="A117" s="11" t="s">
        <v>1579</v>
      </c>
      <c r="B117" s="11" t="s">
        <v>1580</v>
      </c>
      <c r="C117" s="11" t="s">
        <v>1581</v>
      </c>
      <c r="D117" s="11" t="s">
        <v>683</v>
      </c>
      <c r="E117" s="11" t="s">
        <v>59</v>
      </c>
      <c r="F117" s="11" t="s">
        <v>60</v>
      </c>
      <c r="G117" s="11"/>
      <c r="H117" s="11"/>
      <c r="I117" s="11"/>
      <c r="J117" s="7" t="str">
        <f aca="false">IF(A117="","",IF(AND(F117="Approved",G117&lt;&gt;"",H117&lt;&gt;""),"Ready","Not yet"))</f>
        <v>Not yet</v>
      </c>
    </row>
    <row r="118" customFormat="false" ht="15" hidden="false" customHeight="true" outlineLevel="0" collapsed="false">
      <c r="A118" s="11" t="s">
        <v>1582</v>
      </c>
      <c r="B118" s="11" t="s">
        <v>1583</v>
      </c>
      <c r="C118" s="11" t="s">
        <v>1584</v>
      </c>
      <c r="D118" s="11" t="s">
        <v>377</v>
      </c>
      <c r="E118" s="11" t="s">
        <v>59</v>
      </c>
      <c r="F118" s="11" t="s">
        <v>60</v>
      </c>
      <c r="G118" s="11"/>
      <c r="H118" s="11"/>
      <c r="I118" s="11"/>
      <c r="J118" s="7" t="str">
        <f aca="false">IF(A118="","",IF(AND(F118="Approved",G118&lt;&gt;"",H118&lt;&gt;""),"Ready","Not yet"))</f>
        <v>Not yet</v>
      </c>
    </row>
    <row r="119" customFormat="false" ht="15" hidden="false" customHeight="true" outlineLevel="0" collapsed="false">
      <c r="A119" s="11" t="s">
        <v>1585</v>
      </c>
      <c r="B119" s="11" t="s">
        <v>1586</v>
      </c>
      <c r="C119" s="11" t="s">
        <v>1587</v>
      </c>
      <c r="D119" s="11" t="s">
        <v>451</v>
      </c>
      <c r="E119" s="11" t="s">
        <v>59</v>
      </c>
      <c r="F119" s="11" t="s">
        <v>60</v>
      </c>
      <c r="G119" s="11"/>
      <c r="H119" s="11"/>
      <c r="I119" s="11"/>
      <c r="J119" s="7" t="str">
        <f aca="false">IF(A119="","",IF(AND(F119="Approved",G119&lt;&gt;"",H119&lt;&gt;""),"Ready","Not yet"))</f>
        <v>Not yet</v>
      </c>
    </row>
    <row r="120" customFormat="false" ht="15" hidden="false" customHeight="true" outlineLevel="0" collapsed="false">
      <c r="A120" s="11" t="s">
        <v>1588</v>
      </c>
      <c r="B120" s="11" t="s">
        <v>1589</v>
      </c>
      <c r="C120" s="11" t="s">
        <v>1590</v>
      </c>
      <c r="D120" s="11" t="s">
        <v>451</v>
      </c>
      <c r="E120" s="11" t="s">
        <v>59</v>
      </c>
      <c r="F120" s="11" t="s">
        <v>60</v>
      </c>
      <c r="G120" s="11"/>
      <c r="H120" s="11"/>
      <c r="I120" s="11"/>
      <c r="J120" s="7" t="str">
        <f aca="false">IF(A120="","",IF(AND(F120="Approved",G120&lt;&gt;"",H120&lt;&gt;""),"Ready","Not yet"))</f>
        <v>Not yet</v>
      </c>
    </row>
    <row r="121" customFormat="false" ht="15" hidden="false" customHeight="true" outlineLevel="0" collapsed="false">
      <c r="A121" s="11" t="s">
        <v>1591</v>
      </c>
      <c r="B121" s="11" t="s">
        <v>1592</v>
      </c>
      <c r="C121" s="11" t="s">
        <v>1593</v>
      </c>
      <c r="D121" s="11" t="s">
        <v>451</v>
      </c>
      <c r="E121" s="11" t="s">
        <v>59</v>
      </c>
      <c r="F121" s="11" t="s">
        <v>60</v>
      </c>
      <c r="G121" s="11"/>
      <c r="H121" s="11"/>
      <c r="I121" s="11"/>
      <c r="J121" s="7" t="str">
        <f aca="false">IF(A121="","",IF(AND(F121="Approved",G121&lt;&gt;"",H121&lt;&gt;""),"Ready","Not yet"))</f>
        <v>Not yet</v>
      </c>
    </row>
    <row r="122" customFormat="false" ht="15" hidden="false" customHeight="true" outlineLevel="0" collapsed="false">
      <c r="A122" s="11" t="s">
        <v>1594</v>
      </c>
      <c r="B122" s="11" t="s">
        <v>1595</v>
      </c>
      <c r="C122" s="11" t="s">
        <v>1596</v>
      </c>
      <c r="D122" s="11" t="s">
        <v>451</v>
      </c>
      <c r="E122" s="11" t="s">
        <v>59</v>
      </c>
      <c r="F122" s="11" t="s">
        <v>60</v>
      </c>
      <c r="G122" s="11"/>
      <c r="H122" s="11"/>
      <c r="I122" s="11"/>
      <c r="J122" s="7" t="str">
        <f aca="false">IF(A122="","",IF(AND(F122="Approved",G122&lt;&gt;"",H122&lt;&gt;""),"Ready","Not yet"))</f>
        <v>Not yet</v>
      </c>
    </row>
    <row r="123" customFormat="false" ht="15" hidden="false" customHeight="true" outlineLevel="0" collapsed="false">
      <c r="A123" s="11" t="s">
        <v>1597</v>
      </c>
      <c r="B123" s="11" t="s">
        <v>1598</v>
      </c>
      <c r="C123" s="11" t="s">
        <v>1599</v>
      </c>
      <c r="D123" s="11" t="s">
        <v>451</v>
      </c>
      <c r="E123" s="11" t="s">
        <v>59</v>
      </c>
      <c r="F123" s="11" t="s">
        <v>60</v>
      </c>
      <c r="G123" s="11"/>
      <c r="H123" s="11"/>
      <c r="I123" s="11"/>
      <c r="J123" s="7" t="str">
        <f aca="false">IF(A123="","",IF(AND(F123="Approved",G123&lt;&gt;"",H123&lt;&gt;""),"Ready","Not yet"))</f>
        <v>Not yet</v>
      </c>
    </row>
    <row r="124" customFormat="false" ht="15" hidden="false" customHeight="true" outlineLevel="0" collapsed="false">
      <c r="A124" s="11" t="s">
        <v>1600</v>
      </c>
      <c r="B124" s="11" t="s">
        <v>1601</v>
      </c>
      <c r="C124" s="11" t="s">
        <v>1602</v>
      </c>
      <c r="D124" s="11" t="s">
        <v>683</v>
      </c>
      <c r="E124" s="11" t="s">
        <v>59</v>
      </c>
      <c r="F124" s="11" t="s">
        <v>60</v>
      </c>
      <c r="G124" s="11"/>
      <c r="H124" s="11"/>
      <c r="I124" s="11"/>
      <c r="J124" s="7" t="str">
        <f aca="false">IF(A124="","",IF(AND(F124="Approved",G124&lt;&gt;"",H124&lt;&gt;""),"Ready","Not yet"))</f>
        <v>Not yet</v>
      </c>
    </row>
    <row r="125" customFormat="false" ht="15" hidden="false" customHeight="true" outlineLevel="0" collapsed="false">
      <c r="A125" s="11" t="s">
        <v>1603</v>
      </c>
      <c r="B125" s="11" t="s">
        <v>1604</v>
      </c>
      <c r="C125" s="11" t="s">
        <v>1605</v>
      </c>
      <c r="D125" s="11" t="s">
        <v>576</v>
      </c>
      <c r="E125" s="11" t="s">
        <v>59</v>
      </c>
      <c r="F125" s="11" t="s">
        <v>60</v>
      </c>
      <c r="G125" s="11"/>
      <c r="H125" s="11"/>
      <c r="I125" s="11"/>
      <c r="J125" s="7" t="str">
        <f aca="false">IF(A125="","",IF(AND(F125="Approved",G125&lt;&gt;"",H125&lt;&gt;""),"Ready","Not yet"))</f>
        <v>Not yet</v>
      </c>
    </row>
    <row r="126" customFormat="false" ht="15" hidden="false" customHeight="true" outlineLevel="0" collapsed="false">
      <c r="A126" s="11" t="s">
        <v>1606</v>
      </c>
      <c r="B126" s="11" t="s">
        <v>1607</v>
      </c>
      <c r="C126" s="11" t="s">
        <v>1608</v>
      </c>
      <c r="D126" s="11" t="s">
        <v>487</v>
      </c>
      <c r="E126" s="11" t="s">
        <v>59</v>
      </c>
      <c r="F126" s="11" t="s">
        <v>60</v>
      </c>
      <c r="G126" s="11"/>
      <c r="H126" s="11"/>
      <c r="I126" s="11"/>
      <c r="J126" s="7" t="str">
        <f aca="false">IF(A126="","",IF(AND(F126="Approved",G126&lt;&gt;"",H126&lt;&gt;""),"Ready","Not yet"))</f>
        <v>Not yet</v>
      </c>
    </row>
    <row r="127" customFormat="false" ht="15" hidden="false" customHeight="true" outlineLevel="0" collapsed="false">
      <c r="A127" s="11" t="s">
        <v>401</v>
      </c>
      <c r="B127" s="11" t="s">
        <v>403</v>
      </c>
      <c r="C127" s="11" t="s">
        <v>404</v>
      </c>
      <c r="D127" s="11" t="s">
        <v>377</v>
      </c>
      <c r="E127" s="11" t="s">
        <v>59</v>
      </c>
      <c r="F127" s="11" t="s">
        <v>60</v>
      </c>
      <c r="G127" s="11"/>
      <c r="H127" s="11"/>
      <c r="I127" s="11"/>
      <c r="J127" s="7" t="str">
        <f aca="false">IF(A127="","",IF(AND(F127="Approved",G127&lt;&gt;"",H127&lt;&gt;""),"Ready","Not yet"))</f>
        <v>Not yet</v>
      </c>
    </row>
    <row r="128" customFormat="false" ht="15" hidden="false" customHeight="true" outlineLevel="0" collapsed="false">
      <c r="A128" s="11" t="s">
        <v>1609</v>
      </c>
      <c r="B128" s="11" t="s">
        <v>1610</v>
      </c>
      <c r="C128" s="11" t="s">
        <v>1611</v>
      </c>
      <c r="D128" s="11" t="s">
        <v>529</v>
      </c>
      <c r="E128" s="11" t="s">
        <v>59</v>
      </c>
      <c r="F128" s="11" t="s">
        <v>60</v>
      </c>
      <c r="G128" s="11"/>
      <c r="H128" s="11"/>
      <c r="I128" s="11"/>
      <c r="J128" s="7" t="str">
        <f aca="false">IF(A128="","",IF(AND(F128="Approved",G128&lt;&gt;"",H128&lt;&gt;""),"Ready","Not yet"))</f>
        <v>Not yet</v>
      </c>
    </row>
    <row r="129" customFormat="false" ht="15" hidden="false" customHeight="true" outlineLevel="0" collapsed="false">
      <c r="A129" s="11" t="s">
        <v>1612</v>
      </c>
      <c r="B129" s="11" t="s">
        <v>1613</v>
      </c>
      <c r="C129" s="11" t="s">
        <v>1614</v>
      </c>
      <c r="D129" s="11" t="s">
        <v>683</v>
      </c>
      <c r="E129" s="11" t="s">
        <v>59</v>
      </c>
      <c r="F129" s="11" t="s">
        <v>60</v>
      </c>
      <c r="G129" s="11"/>
      <c r="H129" s="11"/>
      <c r="I129" s="11"/>
      <c r="J129" s="7" t="str">
        <f aca="false">IF(A129="","",IF(AND(F129="Approved",G129&lt;&gt;"",H129&lt;&gt;""),"Ready","Not yet"))</f>
        <v>Not yet</v>
      </c>
    </row>
    <row r="130" customFormat="false" ht="15" hidden="false" customHeight="true" outlineLevel="0" collapsed="false">
      <c r="A130" s="11" t="s">
        <v>1615</v>
      </c>
      <c r="B130" s="11" t="s">
        <v>1616</v>
      </c>
      <c r="C130" s="11" t="s">
        <v>1617</v>
      </c>
      <c r="D130" s="11" t="s">
        <v>451</v>
      </c>
      <c r="E130" s="11" t="s">
        <v>59</v>
      </c>
      <c r="F130" s="11" t="s">
        <v>60</v>
      </c>
      <c r="G130" s="11"/>
      <c r="H130" s="11"/>
      <c r="I130" s="11"/>
      <c r="J130" s="7" t="str">
        <f aca="false">IF(A130="","",IF(AND(F130="Approved",G130&lt;&gt;"",H130&lt;&gt;""),"Ready","Not yet"))</f>
        <v>Not yet</v>
      </c>
    </row>
    <row r="131" customFormat="false" ht="15" hidden="false" customHeight="true" outlineLevel="0" collapsed="false">
      <c r="A131" s="11" t="s">
        <v>1618</v>
      </c>
      <c r="B131" s="11" t="s">
        <v>1619</v>
      </c>
      <c r="C131" s="11" t="s">
        <v>1620</v>
      </c>
      <c r="D131" s="11" t="s">
        <v>377</v>
      </c>
      <c r="E131" s="11" t="s">
        <v>59</v>
      </c>
      <c r="F131" s="11" t="s">
        <v>60</v>
      </c>
      <c r="G131" s="11"/>
      <c r="H131" s="11"/>
      <c r="I131" s="11"/>
      <c r="J131" s="7" t="str">
        <f aca="false">IF(A131="","",IF(AND(F131="Approved",G131&lt;&gt;"",H131&lt;&gt;""),"Ready","Not yet"))</f>
        <v>Not yet</v>
      </c>
    </row>
    <row r="132" customFormat="false" ht="15" hidden="false" customHeight="true" outlineLevel="0" collapsed="false">
      <c r="A132" s="11" t="s">
        <v>1621</v>
      </c>
      <c r="B132" s="11" t="s">
        <v>1622</v>
      </c>
      <c r="C132" s="11" t="s">
        <v>1623</v>
      </c>
      <c r="D132" s="11" t="s">
        <v>683</v>
      </c>
      <c r="E132" s="11" t="s">
        <v>59</v>
      </c>
      <c r="F132" s="11" t="s">
        <v>60</v>
      </c>
      <c r="G132" s="11"/>
      <c r="H132" s="11"/>
      <c r="I132" s="11"/>
      <c r="J132" s="7" t="str">
        <f aca="false">IF(A132="","",IF(AND(F132="Approved",G132&lt;&gt;"",H132&lt;&gt;""),"Ready","Not yet"))</f>
        <v>Not yet</v>
      </c>
    </row>
    <row r="133" customFormat="false" ht="15" hidden="false" customHeight="true" outlineLevel="0" collapsed="false">
      <c r="A133" s="11" t="s">
        <v>1624</v>
      </c>
      <c r="B133" s="11" t="s">
        <v>1625</v>
      </c>
      <c r="C133" s="11" t="s">
        <v>1626</v>
      </c>
      <c r="D133" s="11" t="s">
        <v>377</v>
      </c>
      <c r="E133" s="11" t="s">
        <v>59</v>
      </c>
      <c r="F133" s="11" t="s">
        <v>60</v>
      </c>
      <c r="G133" s="11"/>
      <c r="H133" s="11"/>
      <c r="I133" s="11"/>
      <c r="J133" s="7" t="str">
        <f aca="false">IF(A133="","",IF(AND(F133="Approved",G133&lt;&gt;"",H133&lt;&gt;""),"Ready","Not yet"))</f>
        <v>Not yet</v>
      </c>
    </row>
    <row r="134" customFormat="false" ht="15" hidden="false" customHeight="true" outlineLevel="0" collapsed="false">
      <c r="A134" s="11" t="s">
        <v>1627</v>
      </c>
      <c r="B134" s="11" t="s">
        <v>1628</v>
      </c>
      <c r="C134" s="11" t="s">
        <v>1629</v>
      </c>
      <c r="D134" s="11" t="s">
        <v>377</v>
      </c>
      <c r="E134" s="11" t="s">
        <v>59</v>
      </c>
      <c r="F134" s="11" t="s">
        <v>60</v>
      </c>
      <c r="G134" s="11"/>
      <c r="H134" s="11"/>
      <c r="I134" s="11"/>
      <c r="J134" s="7" t="str">
        <f aca="false">IF(A134="","",IF(AND(F134="Approved",G134&lt;&gt;"",H134&lt;&gt;""),"Ready","Not yet"))</f>
        <v>Not yet</v>
      </c>
    </row>
    <row r="135" customFormat="false" ht="15" hidden="false" customHeight="true" outlineLevel="0" collapsed="false">
      <c r="A135" s="11" t="s">
        <v>1630</v>
      </c>
      <c r="B135" s="11" t="s">
        <v>1631</v>
      </c>
      <c r="C135" s="11" t="s">
        <v>1632</v>
      </c>
      <c r="D135" s="11" t="s">
        <v>683</v>
      </c>
      <c r="E135" s="11" t="s">
        <v>59</v>
      </c>
      <c r="F135" s="11" t="s">
        <v>60</v>
      </c>
      <c r="G135" s="11"/>
      <c r="H135" s="11"/>
      <c r="I135" s="11"/>
      <c r="J135" s="7" t="str">
        <f aca="false">IF(A135="","",IF(AND(F135="Approved",G135&lt;&gt;"",H135&lt;&gt;""),"Ready","Not yet"))</f>
        <v>Not yet</v>
      </c>
    </row>
    <row r="136" customFormat="false" ht="15" hidden="false" customHeight="true" outlineLevel="0" collapsed="false">
      <c r="A136" s="11" t="s">
        <v>1633</v>
      </c>
      <c r="B136" s="11" t="s">
        <v>1634</v>
      </c>
      <c r="C136" s="11" t="s">
        <v>1635</v>
      </c>
      <c r="D136" s="11" t="s">
        <v>576</v>
      </c>
      <c r="E136" s="11" t="s">
        <v>59</v>
      </c>
      <c r="F136" s="11" t="s">
        <v>60</v>
      </c>
      <c r="G136" s="11"/>
      <c r="H136" s="11"/>
      <c r="I136" s="11"/>
      <c r="J136" s="7" t="str">
        <f aca="false">IF(A136="","",IF(AND(F136="Approved",G136&lt;&gt;"",H136&lt;&gt;""),"Ready","Not yet"))</f>
        <v>Not yet</v>
      </c>
    </row>
    <row r="137" customFormat="false" ht="15" hidden="false" customHeight="true" outlineLevel="0" collapsed="false">
      <c r="A137" s="11" t="s">
        <v>1636</v>
      </c>
      <c r="B137" s="11" t="s">
        <v>1637</v>
      </c>
      <c r="C137" s="11" t="s">
        <v>1638</v>
      </c>
      <c r="D137" s="11" t="s">
        <v>451</v>
      </c>
      <c r="E137" s="11" t="s">
        <v>59</v>
      </c>
      <c r="F137" s="11" t="s">
        <v>60</v>
      </c>
      <c r="G137" s="11"/>
      <c r="H137" s="11"/>
      <c r="I137" s="11"/>
      <c r="J137" s="7" t="str">
        <f aca="false">IF(A137="","",IF(AND(F137="Approved",G137&lt;&gt;"",H137&lt;&gt;""),"Ready","Not yet"))</f>
        <v>Not yet</v>
      </c>
    </row>
    <row r="138" customFormat="false" ht="15" hidden="false" customHeight="true" outlineLevel="0" collapsed="false">
      <c r="A138" s="11" t="s">
        <v>1639</v>
      </c>
      <c r="B138" s="11" t="s">
        <v>1640</v>
      </c>
      <c r="C138" s="11" t="s">
        <v>1641</v>
      </c>
      <c r="D138" s="11" t="s">
        <v>550</v>
      </c>
      <c r="E138" s="11" t="s">
        <v>59</v>
      </c>
      <c r="F138" s="11" t="s">
        <v>60</v>
      </c>
      <c r="G138" s="11"/>
      <c r="H138" s="11"/>
      <c r="I138" s="11"/>
      <c r="J138" s="7" t="str">
        <f aca="false">IF(A138="","",IF(AND(F138="Approved",G138&lt;&gt;"",H138&lt;&gt;""),"Ready","Not yet"))</f>
        <v>Not yet</v>
      </c>
    </row>
    <row r="139" customFormat="false" ht="15" hidden="false" customHeight="true" outlineLevel="0" collapsed="false">
      <c r="A139" s="11" t="s">
        <v>1642</v>
      </c>
      <c r="B139" s="11" t="s">
        <v>1643</v>
      </c>
      <c r="C139" s="11" t="s">
        <v>1644</v>
      </c>
      <c r="D139" s="11" t="s">
        <v>377</v>
      </c>
      <c r="E139" s="11" t="s">
        <v>59</v>
      </c>
      <c r="F139" s="11" t="s">
        <v>60</v>
      </c>
      <c r="G139" s="11"/>
      <c r="H139" s="11"/>
      <c r="I139" s="11"/>
      <c r="J139" s="7" t="str">
        <f aca="false">IF(A139="","",IF(AND(F139="Approved",G139&lt;&gt;"",H139&lt;&gt;""),"Ready","Not yet"))</f>
        <v>Not yet</v>
      </c>
    </row>
    <row r="140" customFormat="false" ht="15" hidden="false" customHeight="true" outlineLevel="0" collapsed="false">
      <c r="A140" s="11" t="s">
        <v>1645</v>
      </c>
      <c r="B140" s="11" t="s">
        <v>1646</v>
      </c>
      <c r="C140" s="11" t="s">
        <v>1647</v>
      </c>
      <c r="D140" s="11" t="s">
        <v>498</v>
      </c>
      <c r="E140" s="11" t="s">
        <v>59</v>
      </c>
      <c r="F140" s="11" t="s">
        <v>60</v>
      </c>
      <c r="G140" s="11"/>
      <c r="H140" s="11"/>
      <c r="I140" s="11"/>
      <c r="J140" s="7" t="str">
        <f aca="false">IF(A140="","",IF(AND(F140="Approved",G140&lt;&gt;"",H140&lt;&gt;""),"Ready","Not yet"))</f>
        <v>Not yet</v>
      </c>
    </row>
    <row r="141" customFormat="false" ht="15" hidden="false" customHeight="true" outlineLevel="0" collapsed="false">
      <c r="A141" s="11" t="s">
        <v>1648</v>
      </c>
      <c r="B141" s="11" t="s">
        <v>1649</v>
      </c>
      <c r="C141" s="11" t="s">
        <v>1650</v>
      </c>
      <c r="D141" s="11" t="s">
        <v>377</v>
      </c>
      <c r="E141" s="11" t="s">
        <v>59</v>
      </c>
      <c r="F141" s="11" t="s">
        <v>60</v>
      </c>
      <c r="G141" s="11"/>
      <c r="H141" s="11"/>
      <c r="I141" s="11"/>
      <c r="J141" s="7" t="str">
        <f aca="false">IF(A141="","",IF(AND(F141="Approved",G141&lt;&gt;"",H141&lt;&gt;""),"Ready","Not yet"))</f>
        <v>Not yet</v>
      </c>
    </row>
    <row r="142" customFormat="false" ht="15" hidden="false" customHeight="true" outlineLevel="0" collapsed="false">
      <c r="A142" s="11" t="s">
        <v>1651</v>
      </c>
      <c r="B142" s="11" t="s">
        <v>1652</v>
      </c>
      <c r="C142" s="11" t="s">
        <v>1653</v>
      </c>
      <c r="D142" s="11" t="s">
        <v>451</v>
      </c>
      <c r="E142" s="11" t="s">
        <v>59</v>
      </c>
      <c r="F142" s="11" t="s">
        <v>60</v>
      </c>
      <c r="G142" s="11"/>
      <c r="H142" s="11"/>
      <c r="I142" s="11"/>
      <c r="J142" s="7" t="str">
        <f aca="false">IF(A142="","",IF(AND(F142="Approved",G142&lt;&gt;"",H142&lt;&gt;""),"Ready","Not yet"))</f>
        <v>Not yet</v>
      </c>
    </row>
    <row r="143" customFormat="false" ht="15" hidden="false" customHeight="true" outlineLevel="0" collapsed="false">
      <c r="A143" s="11" t="s">
        <v>1654</v>
      </c>
      <c r="B143" s="11" t="s">
        <v>1655</v>
      </c>
      <c r="C143" s="11" t="s">
        <v>1656</v>
      </c>
      <c r="D143" s="11" t="s">
        <v>377</v>
      </c>
      <c r="E143" s="11" t="s">
        <v>59</v>
      </c>
      <c r="F143" s="11" t="s">
        <v>60</v>
      </c>
      <c r="G143" s="11"/>
      <c r="H143" s="11"/>
      <c r="I143" s="11"/>
      <c r="J143" s="7" t="str">
        <f aca="false">IF(A143="","",IF(AND(F143="Approved",G143&lt;&gt;"",H143&lt;&gt;""),"Ready","Not yet"))</f>
        <v>Not yet</v>
      </c>
    </row>
    <row r="144" customFormat="false" ht="15" hidden="false" customHeight="true" outlineLevel="0" collapsed="false">
      <c r="A144" s="11" t="s">
        <v>1657</v>
      </c>
      <c r="B144" s="11" t="s">
        <v>1658</v>
      </c>
      <c r="C144" s="11" t="s">
        <v>1659</v>
      </c>
      <c r="D144" s="11" t="s">
        <v>576</v>
      </c>
      <c r="E144" s="11" t="s">
        <v>59</v>
      </c>
      <c r="F144" s="11" t="s">
        <v>60</v>
      </c>
      <c r="G144" s="11"/>
      <c r="H144" s="11"/>
      <c r="I144" s="11"/>
      <c r="J144" s="7" t="str">
        <f aca="false">IF(A144="","",IF(AND(F144="Approved",G144&lt;&gt;"",H144&lt;&gt;""),"Ready","Not yet"))</f>
        <v>Not yet</v>
      </c>
    </row>
    <row r="145" customFormat="false" ht="15" hidden="false" customHeight="true" outlineLevel="0" collapsed="false">
      <c r="A145" s="11" t="s">
        <v>1660</v>
      </c>
      <c r="B145" s="11" t="s">
        <v>1661</v>
      </c>
      <c r="C145" s="11" t="s">
        <v>1662</v>
      </c>
      <c r="D145" s="11" t="s">
        <v>377</v>
      </c>
      <c r="E145" s="11" t="s">
        <v>59</v>
      </c>
      <c r="F145" s="11" t="s">
        <v>60</v>
      </c>
      <c r="G145" s="11"/>
      <c r="H145" s="11"/>
      <c r="I145" s="11"/>
      <c r="J145" s="7" t="str">
        <f aca="false">IF(A145="","",IF(AND(F145="Approved",G145&lt;&gt;"",H145&lt;&gt;""),"Ready","Not yet"))</f>
        <v>Not yet</v>
      </c>
    </row>
    <row r="146" customFormat="false" ht="15" hidden="false" customHeight="true" outlineLevel="0" collapsed="false">
      <c r="A146" s="11" t="s">
        <v>1663</v>
      </c>
      <c r="B146" s="11" t="s">
        <v>1664</v>
      </c>
      <c r="C146" s="11" t="s">
        <v>1665</v>
      </c>
      <c r="D146" s="11" t="s">
        <v>487</v>
      </c>
      <c r="E146" s="11" t="s">
        <v>59</v>
      </c>
      <c r="F146" s="11" t="s">
        <v>60</v>
      </c>
      <c r="G146" s="11"/>
      <c r="H146" s="11"/>
      <c r="I146" s="11"/>
      <c r="J146" s="7" t="str">
        <f aca="false">IF(A146="","",IF(AND(F146="Approved",G146&lt;&gt;"",H146&lt;&gt;""),"Ready","Not yet"))</f>
        <v>Not yet</v>
      </c>
    </row>
    <row r="147" customFormat="false" ht="15" hidden="false" customHeight="true" outlineLevel="0" collapsed="false">
      <c r="A147" s="11" t="s">
        <v>1666</v>
      </c>
      <c r="B147" s="11" t="s">
        <v>1667</v>
      </c>
      <c r="C147" s="11" t="s">
        <v>1668</v>
      </c>
      <c r="D147" s="11" t="s">
        <v>377</v>
      </c>
      <c r="E147" s="11" t="s">
        <v>59</v>
      </c>
      <c r="F147" s="11" t="s">
        <v>60</v>
      </c>
      <c r="G147" s="11"/>
      <c r="H147" s="11"/>
      <c r="I147" s="11"/>
      <c r="J147" s="7" t="str">
        <f aca="false">IF(A147="","",IF(AND(F147="Approved",G147&lt;&gt;"",H147&lt;&gt;""),"Ready","Not yet"))</f>
        <v>Not yet</v>
      </c>
    </row>
    <row r="148" customFormat="false" ht="15" hidden="false" customHeight="true" outlineLevel="0" collapsed="false">
      <c r="A148" s="11" t="s">
        <v>1669</v>
      </c>
      <c r="B148" s="11" t="s">
        <v>1670</v>
      </c>
      <c r="C148" s="11" t="s">
        <v>1671</v>
      </c>
      <c r="D148" s="11" t="s">
        <v>576</v>
      </c>
      <c r="E148" s="11" t="s">
        <v>59</v>
      </c>
      <c r="F148" s="11" t="s">
        <v>60</v>
      </c>
      <c r="G148" s="11"/>
      <c r="H148" s="11"/>
      <c r="I148" s="11"/>
      <c r="J148" s="7" t="str">
        <f aca="false">IF(A148="","",IF(AND(F148="Approved",G148&lt;&gt;"",H148&lt;&gt;""),"Ready","Not yet"))</f>
        <v>Not yet</v>
      </c>
    </row>
    <row r="149" customFormat="false" ht="15" hidden="false" customHeight="true" outlineLevel="0" collapsed="false">
      <c r="A149" s="11" t="s">
        <v>1672</v>
      </c>
      <c r="B149" s="11" t="s">
        <v>1673</v>
      </c>
      <c r="C149" s="11" t="s">
        <v>1674</v>
      </c>
      <c r="D149" s="11" t="s">
        <v>683</v>
      </c>
      <c r="E149" s="11" t="s">
        <v>59</v>
      </c>
      <c r="F149" s="11" t="s">
        <v>60</v>
      </c>
      <c r="G149" s="11"/>
      <c r="H149" s="11"/>
      <c r="I149" s="11"/>
      <c r="J149" s="7" t="str">
        <f aca="false">IF(A149="","",IF(AND(F149="Approved",G149&lt;&gt;"",H149&lt;&gt;""),"Ready","Not yet"))</f>
        <v>Not yet</v>
      </c>
    </row>
    <row r="150" customFormat="false" ht="15" hidden="false" customHeight="true" outlineLevel="0" collapsed="false">
      <c r="A150" s="11" t="s">
        <v>1675</v>
      </c>
      <c r="B150" s="11" t="s">
        <v>1676</v>
      </c>
      <c r="C150" s="11" t="s">
        <v>1677</v>
      </c>
      <c r="D150" s="11" t="s">
        <v>576</v>
      </c>
      <c r="E150" s="11" t="s">
        <v>59</v>
      </c>
      <c r="F150" s="11" t="s">
        <v>60</v>
      </c>
      <c r="G150" s="11"/>
      <c r="H150" s="11"/>
      <c r="I150" s="11"/>
      <c r="J150" s="7" t="str">
        <f aca="false">IF(A150="","",IF(AND(F150="Approved",G150&lt;&gt;"",H150&lt;&gt;""),"Ready","Not yet"))</f>
        <v>Not yet</v>
      </c>
    </row>
    <row r="151" customFormat="false" ht="15" hidden="false" customHeight="true" outlineLevel="0" collapsed="false">
      <c r="A151" s="11" t="s">
        <v>1678</v>
      </c>
      <c r="B151" s="11" t="s">
        <v>1679</v>
      </c>
      <c r="C151" s="11" t="s">
        <v>1680</v>
      </c>
      <c r="D151" s="11" t="s">
        <v>377</v>
      </c>
      <c r="E151" s="11" t="s">
        <v>59</v>
      </c>
      <c r="F151" s="11" t="s">
        <v>60</v>
      </c>
      <c r="G151" s="11"/>
      <c r="H151" s="11"/>
      <c r="I151" s="11"/>
      <c r="J151" s="7" t="str">
        <f aca="false">IF(A151="","",IF(AND(F151="Approved",G151&lt;&gt;"",H151&lt;&gt;""),"Ready","Not yet"))</f>
        <v>Not yet</v>
      </c>
    </row>
    <row r="152" customFormat="false" ht="15" hidden="false" customHeight="true" outlineLevel="0" collapsed="false">
      <c r="A152" s="11" t="s">
        <v>431</v>
      </c>
      <c r="B152" s="11" t="s">
        <v>433</v>
      </c>
      <c r="C152" s="11" t="s">
        <v>434</v>
      </c>
      <c r="D152" s="11" t="s">
        <v>377</v>
      </c>
      <c r="E152" s="11" t="s">
        <v>59</v>
      </c>
      <c r="F152" s="11" t="s">
        <v>60</v>
      </c>
      <c r="G152" s="11"/>
      <c r="H152" s="11"/>
      <c r="I152" s="11"/>
      <c r="J152" s="7" t="str">
        <f aca="false">IF(A152="","",IF(AND(F152="Approved",G152&lt;&gt;"",H152&lt;&gt;""),"Ready","Not yet"))</f>
        <v>Not yet</v>
      </c>
    </row>
    <row r="153" customFormat="false" ht="15" hidden="false" customHeight="true" outlineLevel="0" collapsed="false">
      <c r="A153" s="11" t="s">
        <v>1681</v>
      </c>
      <c r="B153" s="11" t="s">
        <v>1682</v>
      </c>
      <c r="C153" s="11" t="s">
        <v>1683</v>
      </c>
      <c r="D153" s="11" t="s">
        <v>451</v>
      </c>
      <c r="E153" s="11" t="s">
        <v>59</v>
      </c>
      <c r="F153" s="11" t="s">
        <v>60</v>
      </c>
      <c r="G153" s="11"/>
      <c r="H153" s="11"/>
      <c r="I153" s="11"/>
      <c r="J153" s="7" t="str">
        <f aca="false">IF(A153="","",IF(AND(F153="Approved",G153&lt;&gt;"",H153&lt;&gt;""),"Ready","Not yet"))</f>
        <v>Not yet</v>
      </c>
    </row>
    <row r="154" customFormat="false" ht="15" hidden="false" customHeight="true" outlineLevel="0" collapsed="false">
      <c r="A154" s="11" t="s">
        <v>1684</v>
      </c>
      <c r="B154" s="11" t="s">
        <v>1685</v>
      </c>
      <c r="C154" s="11" t="s">
        <v>1686</v>
      </c>
      <c r="D154" s="11" t="s">
        <v>498</v>
      </c>
      <c r="E154" s="11" t="s">
        <v>59</v>
      </c>
      <c r="F154" s="11" t="s">
        <v>60</v>
      </c>
      <c r="G154" s="11"/>
      <c r="H154" s="11"/>
      <c r="I154" s="11"/>
      <c r="J154" s="7" t="str">
        <f aca="false">IF(A154="","",IF(AND(F154="Approved",G154&lt;&gt;"",H154&lt;&gt;""),"Ready","Not yet"))</f>
        <v>Not yet</v>
      </c>
    </row>
    <row r="155" customFormat="false" ht="15" hidden="false" customHeight="true" outlineLevel="0" collapsed="false">
      <c r="A155" s="11" t="s">
        <v>1687</v>
      </c>
      <c r="B155" s="11" t="s">
        <v>1688</v>
      </c>
      <c r="C155" s="11" t="s">
        <v>1689</v>
      </c>
      <c r="D155" s="11" t="s">
        <v>683</v>
      </c>
      <c r="E155" s="11" t="s">
        <v>59</v>
      </c>
      <c r="F155" s="11" t="s">
        <v>60</v>
      </c>
      <c r="G155" s="11"/>
      <c r="H155" s="11"/>
      <c r="I155" s="11"/>
      <c r="J155" s="7" t="str">
        <f aca="false">IF(A155="","",IF(AND(F155="Approved",G155&lt;&gt;"",H155&lt;&gt;""),"Ready","Not yet"))</f>
        <v>Not yet</v>
      </c>
    </row>
    <row r="156" customFormat="false" ht="15" hidden="false" customHeight="true" outlineLevel="0" collapsed="false">
      <c r="A156" s="11" t="s">
        <v>1690</v>
      </c>
      <c r="B156" s="11" t="s">
        <v>1691</v>
      </c>
      <c r="C156" s="11" t="s">
        <v>1692</v>
      </c>
      <c r="D156" s="11" t="s">
        <v>377</v>
      </c>
      <c r="E156" s="11" t="s">
        <v>59</v>
      </c>
      <c r="F156" s="11" t="s">
        <v>60</v>
      </c>
      <c r="G156" s="11"/>
      <c r="H156" s="11"/>
      <c r="I156" s="11"/>
      <c r="J156" s="7" t="str">
        <f aca="false">IF(A156="","",IF(AND(F156="Approved",G156&lt;&gt;"",H156&lt;&gt;""),"Ready","Not yet"))</f>
        <v>Not yet</v>
      </c>
    </row>
    <row r="157" customFormat="false" ht="15" hidden="false" customHeight="true" outlineLevel="0" collapsed="false">
      <c r="A157" s="11" t="s">
        <v>1693</v>
      </c>
      <c r="B157" s="11" t="s">
        <v>1694</v>
      </c>
      <c r="C157" s="11" t="s">
        <v>1695</v>
      </c>
      <c r="D157" s="11" t="s">
        <v>498</v>
      </c>
      <c r="E157" s="11" t="s">
        <v>59</v>
      </c>
      <c r="F157" s="11" t="s">
        <v>60</v>
      </c>
      <c r="G157" s="11"/>
      <c r="H157" s="11"/>
      <c r="I157" s="11"/>
      <c r="J157" s="7" t="str">
        <f aca="false">IF(A157="","",IF(AND(F157="Approved",G157&lt;&gt;"",H157&lt;&gt;""),"Ready","Not yet"))</f>
        <v>Not yet</v>
      </c>
    </row>
    <row r="158" customFormat="false" ht="15" hidden="false" customHeight="true" outlineLevel="0" collapsed="false">
      <c r="A158" s="11" t="s">
        <v>1696</v>
      </c>
      <c r="B158" s="11" t="s">
        <v>1697</v>
      </c>
      <c r="C158" s="11" t="s">
        <v>1698</v>
      </c>
      <c r="D158" s="11" t="s">
        <v>377</v>
      </c>
      <c r="E158" s="11" t="s">
        <v>59</v>
      </c>
      <c r="F158" s="11" t="s">
        <v>60</v>
      </c>
      <c r="G158" s="11"/>
      <c r="H158" s="11"/>
      <c r="I158" s="11"/>
      <c r="J158" s="7" t="str">
        <f aca="false">IF(A158="","",IF(AND(F158="Approved",G158&lt;&gt;"",H158&lt;&gt;""),"Ready","Not yet"))</f>
        <v>Not yet</v>
      </c>
    </row>
    <row r="159" customFormat="false" ht="15" hidden="false" customHeight="true" outlineLevel="0" collapsed="false">
      <c r="A159" s="11" t="s">
        <v>1699</v>
      </c>
      <c r="B159" s="11" t="s">
        <v>1700</v>
      </c>
      <c r="C159" s="11" t="s">
        <v>1701</v>
      </c>
      <c r="D159" s="11" t="s">
        <v>683</v>
      </c>
      <c r="E159" s="11" t="s">
        <v>59</v>
      </c>
      <c r="F159" s="11" t="s">
        <v>60</v>
      </c>
      <c r="G159" s="11"/>
      <c r="H159" s="11"/>
      <c r="I159" s="11"/>
      <c r="J159" s="7" t="str">
        <f aca="false">IF(A159="","",IF(AND(F159="Approved",G159&lt;&gt;"",H159&lt;&gt;""),"Ready","Not yet"))</f>
        <v>Not yet</v>
      </c>
    </row>
    <row r="160" customFormat="false" ht="15" hidden="false" customHeight="true" outlineLevel="0" collapsed="false">
      <c r="A160" s="11" t="s">
        <v>1702</v>
      </c>
      <c r="B160" s="11" t="s">
        <v>1703</v>
      </c>
      <c r="C160" s="11" t="s">
        <v>1704</v>
      </c>
      <c r="D160" s="11" t="s">
        <v>529</v>
      </c>
      <c r="E160" s="11" t="s">
        <v>59</v>
      </c>
      <c r="F160" s="11" t="s">
        <v>60</v>
      </c>
      <c r="G160" s="11"/>
      <c r="H160" s="11"/>
      <c r="I160" s="11"/>
      <c r="J160" s="7" t="str">
        <f aca="false">IF(A160="","",IF(AND(F160="Approved",G160&lt;&gt;"",H160&lt;&gt;""),"Ready","Not yet"))</f>
        <v>Not yet</v>
      </c>
    </row>
    <row r="161" customFormat="false" ht="15" hidden="false" customHeight="true" outlineLevel="0" collapsed="false">
      <c r="A161" s="11" t="s">
        <v>1705</v>
      </c>
      <c r="B161" s="11" t="s">
        <v>1706</v>
      </c>
      <c r="C161" s="11" t="s">
        <v>1707</v>
      </c>
      <c r="D161" s="11" t="s">
        <v>529</v>
      </c>
      <c r="E161" s="11" t="s">
        <v>59</v>
      </c>
      <c r="F161" s="11" t="s">
        <v>60</v>
      </c>
      <c r="G161" s="11"/>
      <c r="H161" s="11"/>
      <c r="I161" s="11"/>
      <c r="J161" s="7" t="str">
        <f aca="false">IF(A161="","",IF(AND(F161="Approved",G161&lt;&gt;"",H161&lt;&gt;""),"Ready","Not yet"))</f>
        <v>Not yet</v>
      </c>
    </row>
    <row r="162" customFormat="false" ht="15" hidden="false" customHeight="true" outlineLevel="0" collapsed="false">
      <c r="A162" s="11" t="s">
        <v>1708</v>
      </c>
      <c r="B162" s="11" t="s">
        <v>1709</v>
      </c>
      <c r="C162" s="11" t="s">
        <v>1710</v>
      </c>
      <c r="D162" s="11" t="s">
        <v>683</v>
      </c>
      <c r="E162" s="11" t="s">
        <v>59</v>
      </c>
      <c r="F162" s="11" t="s">
        <v>60</v>
      </c>
      <c r="G162" s="11"/>
      <c r="H162" s="11"/>
      <c r="I162" s="11"/>
      <c r="J162" s="7" t="str">
        <f aca="false">IF(A162="","",IF(AND(F162="Approved",G162&lt;&gt;"",H162&lt;&gt;""),"Ready","Not yet"))</f>
        <v>Not yet</v>
      </c>
    </row>
    <row r="163" customFormat="false" ht="15" hidden="false" customHeight="true" outlineLevel="0" collapsed="false">
      <c r="A163" s="11" t="s">
        <v>1711</v>
      </c>
      <c r="B163" s="11" t="s">
        <v>1712</v>
      </c>
      <c r="C163" s="11" t="s">
        <v>1713</v>
      </c>
      <c r="D163" s="11" t="s">
        <v>377</v>
      </c>
      <c r="E163" s="11" t="s">
        <v>59</v>
      </c>
      <c r="F163" s="11" t="s">
        <v>60</v>
      </c>
      <c r="G163" s="11"/>
      <c r="H163" s="11"/>
      <c r="I163" s="11"/>
      <c r="J163" s="7" t="str">
        <f aca="false">IF(A163="","",IF(AND(F163="Approved",G163&lt;&gt;"",H163&lt;&gt;""),"Ready","Not yet"))</f>
        <v>Not yet</v>
      </c>
    </row>
    <row r="164" customFormat="false" ht="15" hidden="false" customHeight="true" outlineLevel="0" collapsed="false">
      <c r="A164" s="11" t="s">
        <v>1714</v>
      </c>
      <c r="B164" s="11" t="s">
        <v>1715</v>
      </c>
      <c r="C164" s="11" t="s">
        <v>1716</v>
      </c>
      <c r="D164" s="11" t="s">
        <v>451</v>
      </c>
      <c r="E164" s="11" t="s">
        <v>59</v>
      </c>
      <c r="F164" s="11" t="s">
        <v>60</v>
      </c>
      <c r="G164" s="11"/>
      <c r="H164" s="11"/>
      <c r="I164" s="11"/>
      <c r="J164" s="7" t="str">
        <f aca="false">IF(A164="","",IF(AND(F164="Approved",G164&lt;&gt;"",H164&lt;&gt;""),"Ready","Not yet"))</f>
        <v>Not yet</v>
      </c>
    </row>
    <row r="165" customFormat="false" ht="15" hidden="false" customHeight="true" outlineLevel="0" collapsed="false">
      <c r="A165" s="11" t="s">
        <v>1717</v>
      </c>
      <c r="B165" s="11" t="s">
        <v>1718</v>
      </c>
      <c r="C165" s="11" t="s">
        <v>1719</v>
      </c>
      <c r="D165" s="11" t="s">
        <v>683</v>
      </c>
      <c r="E165" s="11" t="s">
        <v>59</v>
      </c>
      <c r="F165" s="11" t="s">
        <v>60</v>
      </c>
      <c r="G165" s="11"/>
      <c r="H165" s="11"/>
      <c r="I165" s="11"/>
      <c r="J165" s="7" t="str">
        <f aca="false">IF(A165="","",IF(AND(F165="Approved",G165&lt;&gt;"",H165&lt;&gt;""),"Ready","Not yet"))</f>
        <v>Not yet</v>
      </c>
    </row>
    <row r="166" customFormat="false" ht="15" hidden="false" customHeight="true" outlineLevel="0" collapsed="false">
      <c r="A166" s="11" t="s">
        <v>1720</v>
      </c>
      <c r="B166" s="11" t="s">
        <v>1721</v>
      </c>
      <c r="C166" s="11" t="s">
        <v>1722</v>
      </c>
      <c r="D166" s="11" t="s">
        <v>683</v>
      </c>
      <c r="E166" s="11" t="s">
        <v>59</v>
      </c>
      <c r="F166" s="11" t="s">
        <v>60</v>
      </c>
      <c r="G166" s="11"/>
      <c r="H166" s="11"/>
      <c r="I166" s="11"/>
      <c r="J166" s="7" t="str">
        <f aca="false">IF(A166="","",IF(AND(F166="Approved",G166&lt;&gt;"",H166&lt;&gt;""),"Ready","Not yet"))</f>
        <v>Not yet</v>
      </c>
    </row>
    <row r="167" customFormat="false" ht="15" hidden="false" customHeight="true" outlineLevel="0" collapsed="false">
      <c r="A167" s="11" t="s">
        <v>1723</v>
      </c>
      <c r="B167" s="11" t="s">
        <v>1724</v>
      </c>
      <c r="C167" s="11" t="s">
        <v>1725</v>
      </c>
      <c r="D167" s="11" t="s">
        <v>683</v>
      </c>
      <c r="E167" s="11" t="s">
        <v>59</v>
      </c>
      <c r="F167" s="11" t="s">
        <v>60</v>
      </c>
      <c r="G167" s="11"/>
      <c r="H167" s="11"/>
      <c r="I167" s="11"/>
      <c r="J167" s="7" t="str">
        <f aca="false">IF(A167="","",IF(AND(F167="Approved",G167&lt;&gt;"",H167&lt;&gt;""),"Ready","Not yet"))</f>
        <v>Not yet</v>
      </c>
    </row>
    <row r="168" customFormat="false" ht="15" hidden="false" customHeight="true" outlineLevel="0" collapsed="false">
      <c r="A168" s="11" t="s">
        <v>1726</v>
      </c>
      <c r="B168" s="11" t="s">
        <v>1727</v>
      </c>
      <c r="C168" s="11" t="s">
        <v>1728</v>
      </c>
      <c r="D168" s="11" t="s">
        <v>451</v>
      </c>
      <c r="E168" s="11" t="s">
        <v>59</v>
      </c>
      <c r="F168" s="11" t="s">
        <v>60</v>
      </c>
      <c r="G168" s="11"/>
      <c r="H168" s="11"/>
      <c r="I168" s="11"/>
      <c r="J168" s="7" t="str">
        <f aca="false">IF(A168="","",IF(AND(F168="Approved",G168&lt;&gt;"",H168&lt;&gt;""),"Ready","Not yet"))</f>
        <v>Not yet</v>
      </c>
    </row>
    <row r="169" customFormat="false" ht="15" hidden="false" customHeight="true" outlineLevel="0" collapsed="false">
      <c r="A169" s="11" t="s">
        <v>1729</v>
      </c>
      <c r="B169" s="11" t="s">
        <v>1730</v>
      </c>
      <c r="C169" s="11" t="s">
        <v>1731</v>
      </c>
      <c r="D169" s="11" t="s">
        <v>576</v>
      </c>
      <c r="E169" s="11" t="s">
        <v>59</v>
      </c>
      <c r="F169" s="11" t="s">
        <v>60</v>
      </c>
      <c r="G169" s="11"/>
      <c r="H169" s="11"/>
      <c r="I169" s="11"/>
      <c r="J169" s="7" t="str">
        <f aca="false">IF(A169="","",IF(AND(F169="Approved",G169&lt;&gt;"",H169&lt;&gt;""),"Ready","Not yet"))</f>
        <v>Not yet</v>
      </c>
    </row>
    <row r="170" customFormat="false" ht="15" hidden="false" customHeight="true" outlineLevel="0" collapsed="false">
      <c r="A170" s="11" t="s">
        <v>1732</v>
      </c>
      <c r="B170" s="11" t="s">
        <v>1733</v>
      </c>
      <c r="C170" s="11" t="s">
        <v>1734</v>
      </c>
      <c r="D170" s="11" t="s">
        <v>576</v>
      </c>
      <c r="E170" s="11" t="s">
        <v>59</v>
      </c>
      <c r="F170" s="11" t="s">
        <v>60</v>
      </c>
      <c r="G170" s="11"/>
      <c r="H170" s="11"/>
      <c r="I170" s="11"/>
      <c r="J170" s="7" t="str">
        <f aca="false">IF(A170="","",IF(AND(F170="Approved",G170&lt;&gt;"",H170&lt;&gt;""),"Ready","Not yet"))</f>
        <v>Not yet</v>
      </c>
    </row>
    <row r="171" customFormat="false" ht="15" hidden="false" customHeight="true" outlineLevel="0" collapsed="false">
      <c r="A171" s="11" t="s">
        <v>1735</v>
      </c>
      <c r="B171" s="11" t="s">
        <v>1736</v>
      </c>
      <c r="C171" s="11" t="s">
        <v>1737</v>
      </c>
      <c r="D171" s="11" t="s">
        <v>683</v>
      </c>
      <c r="E171" s="11" t="s">
        <v>59</v>
      </c>
      <c r="F171" s="11" t="s">
        <v>60</v>
      </c>
      <c r="G171" s="11"/>
      <c r="H171" s="11"/>
      <c r="I171" s="11"/>
      <c r="J171" s="7" t="str">
        <f aca="false">IF(A171="","",IF(AND(F171="Approved",G171&lt;&gt;"",H171&lt;&gt;""),"Ready","Not yet"))</f>
        <v>Not yet</v>
      </c>
    </row>
    <row r="172" customFormat="false" ht="15" hidden="false" customHeight="true" outlineLevel="0" collapsed="false">
      <c r="A172" s="11" t="s">
        <v>1738</v>
      </c>
      <c r="B172" s="11" t="s">
        <v>1739</v>
      </c>
      <c r="C172" s="11" t="s">
        <v>1740</v>
      </c>
      <c r="D172" s="11" t="s">
        <v>451</v>
      </c>
      <c r="E172" s="11" t="s">
        <v>59</v>
      </c>
      <c r="F172" s="11" t="s">
        <v>60</v>
      </c>
      <c r="G172" s="11"/>
      <c r="H172" s="11"/>
      <c r="I172" s="11"/>
      <c r="J172" s="7" t="str">
        <f aca="false">IF(A172="","",IF(AND(F172="Approved",G172&lt;&gt;"",H172&lt;&gt;""),"Ready","Not yet"))</f>
        <v>Not yet</v>
      </c>
    </row>
    <row r="173" customFormat="false" ht="15" hidden="false" customHeight="true" outlineLevel="0" collapsed="false">
      <c r="A173" s="11" t="s">
        <v>1741</v>
      </c>
      <c r="B173" s="11" t="s">
        <v>1742</v>
      </c>
      <c r="C173" s="11" t="s">
        <v>1743</v>
      </c>
      <c r="D173" s="11" t="s">
        <v>576</v>
      </c>
      <c r="E173" s="11" t="s">
        <v>59</v>
      </c>
      <c r="F173" s="11" t="s">
        <v>60</v>
      </c>
      <c r="G173" s="11"/>
      <c r="H173" s="11"/>
      <c r="I173" s="11"/>
      <c r="J173" s="7" t="str">
        <f aca="false">IF(A173="","",IF(AND(F173="Approved",G173&lt;&gt;"",H173&lt;&gt;""),"Ready","Not yet"))</f>
        <v>Not yet</v>
      </c>
    </row>
    <row r="174" customFormat="false" ht="15" hidden="false" customHeight="true" outlineLevel="0" collapsed="false">
      <c r="A174" s="11" t="s">
        <v>1744</v>
      </c>
      <c r="B174" s="11" t="s">
        <v>1745</v>
      </c>
      <c r="C174" s="11" t="s">
        <v>1746</v>
      </c>
      <c r="D174" s="11" t="s">
        <v>683</v>
      </c>
      <c r="E174" s="11" t="s">
        <v>59</v>
      </c>
      <c r="F174" s="11" t="s">
        <v>60</v>
      </c>
      <c r="G174" s="11"/>
      <c r="H174" s="11"/>
      <c r="I174" s="11"/>
      <c r="J174" s="7" t="str">
        <f aca="false">IF(A174="","",IF(AND(F174="Approved",G174&lt;&gt;"",H174&lt;&gt;""),"Ready","Not yet"))</f>
        <v>Not yet</v>
      </c>
    </row>
    <row r="175" customFormat="false" ht="15" hidden="false" customHeight="true" outlineLevel="0" collapsed="false">
      <c r="A175" s="11" t="s">
        <v>1747</v>
      </c>
      <c r="B175" s="11" t="s">
        <v>1748</v>
      </c>
      <c r="C175" s="11" t="s">
        <v>1749</v>
      </c>
      <c r="D175" s="11" t="s">
        <v>683</v>
      </c>
      <c r="E175" s="11" t="s">
        <v>59</v>
      </c>
      <c r="F175" s="11" t="s">
        <v>60</v>
      </c>
      <c r="G175" s="11"/>
      <c r="H175" s="11"/>
      <c r="I175" s="11"/>
      <c r="J175" s="7" t="str">
        <f aca="false">IF(A175="","",IF(AND(F175="Approved",G175&lt;&gt;"",H175&lt;&gt;""),"Ready","Not yet"))</f>
        <v>Not yet</v>
      </c>
    </row>
    <row r="176" customFormat="false" ht="15" hidden="false" customHeight="true" outlineLevel="0" collapsed="false">
      <c r="A176" s="11" t="s">
        <v>1750</v>
      </c>
      <c r="B176" s="11" t="s">
        <v>1751</v>
      </c>
      <c r="C176" s="11" t="s">
        <v>1752</v>
      </c>
      <c r="D176" s="11" t="s">
        <v>683</v>
      </c>
      <c r="E176" s="11" t="s">
        <v>59</v>
      </c>
      <c r="F176" s="11" t="s">
        <v>60</v>
      </c>
      <c r="G176" s="11"/>
      <c r="H176" s="11"/>
      <c r="I176" s="11"/>
      <c r="J176" s="7" t="str">
        <f aca="false">IF(A176="","",IF(AND(F176="Approved",G176&lt;&gt;"",H176&lt;&gt;""),"Ready","Not yet"))</f>
        <v>Not yet</v>
      </c>
    </row>
    <row r="177" customFormat="false" ht="15" hidden="false" customHeight="true" outlineLevel="0" collapsed="false">
      <c r="A177" s="11" t="s">
        <v>1753</v>
      </c>
      <c r="B177" s="11" t="s">
        <v>1754</v>
      </c>
      <c r="C177" s="11" t="s">
        <v>1755</v>
      </c>
      <c r="D177" s="11" t="s">
        <v>683</v>
      </c>
      <c r="E177" s="11" t="s">
        <v>59</v>
      </c>
      <c r="F177" s="11" t="s">
        <v>60</v>
      </c>
      <c r="G177" s="11"/>
      <c r="H177" s="11"/>
      <c r="I177" s="11"/>
      <c r="J177" s="7" t="str">
        <f aca="false">IF(A177="","",IF(AND(F177="Approved",G177&lt;&gt;"",H177&lt;&gt;""),"Ready","Not yet"))</f>
        <v>Not yet</v>
      </c>
    </row>
    <row r="178" customFormat="false" ht="15" hidden="false" customHeight="true" outlineLevel="0" collapsed="false">
      <c r="A178" s="11" t="s">
        <v>1756</v>
      </c>
      <c r="B178" s="11" t="s">
        <v>1757</v>
      </c>
      <c r="C178" s="11" t="s">
        <v>1758</v>
      </c>
      <c r="D178" s="11" t="s">
        <v>683</v>
      </c>
      <c r="E178" s="11" t="s">
        <v>59</v>
      </c>
      <c r="F178" s="11" t="s">
        <v>60</v>
      </c>
      <c r="G178" s="11"/>
      <c r="H178" s="11"/>
      <c r="I178" s="11"/>
      <c r="J178" s="7" t="str">
        <f aca="false">IF(A178="","",IF(AND(F178="Approved",G178&lt;&gt;"",H178&lt;&gt;""),"Ready","Not yet"))</f>
        <v>Not yet</v>
      </c>
    </row>
    <row r="179" customFormat="false" ht="15" hidden="false" customHeight="true" outlineLevel="0" collapsed="false">
      <c r="A179" s="11" t="s">
        <v>1759</v>
      </c>
      <c r="B179" s="11" t="s">
        <v>1760</v>
      </c>
      <c r="C179" s="11" t="s">
        <v>1761</v>
      </c>
      <c r="D179" s="11" t="s">
        <v>683</v>
      </c>
      <c r="E179" s="11" t="s">
        <v>59</v>
      </c>
      <c r="F179" s="11" t="s">
        <v>60</v>
      </c>
      <c r="G179" s="11"/>
      <c r="H179" s="11"/>
      <c r="I179" s="11"/>
      <c r="J179" s="7" t="str">
        <f aca="false">IF(A179="","",IF(AND(F179="Approved",G179&lt;&gt;"",H179&lt;&gt;""),"Ready","Not yet"))</f>
        <v>Not yet</v>
      </c>
    </row>
    <row r="180" customFormat="false" ht="15" hidden="false" customHeight="true" outlineLevel="0" collapsed="false">
      <c r="A180" s="11" t="s">
        <v>1762</v>
      </c>
      <c r="B180" s="11" t="s">
        <v>1763</v>
      </c>
      <c r="C180" s="11" t="s">
        <v>1764</v>
      </c>
      <c r="D180" s="11" t="s">
        <v>377</v>
      </c>
      <c r="E180" s="11" t="s">
        <v>59</v>
      </c>
      <c r="F180" s="11" t="s">
        <v>60</v>
      </c>
      <c r="G180" s="11"/>
      <c r="H180" s="11"/>
      <c r="I180" s="11"/>
      <c r="J180" s="7" t="str">
        <f aca="false">IF(A180="","",IF(AND(F180="Approved",G180&lt;&gt;"",H180&lt;&gt;""),"Ready","Not yet"))</f>
        <v>Not yet</v>
      </c>
    </row>
    <row r="181" customFormat="false" ht="15" hidden="false" customHeight="true" outlineLevel="0" collapsed="false">
      <c r="A181" s="11" t="s">
        <v>1765</v>
      </c>
      <c r="B181" s="11" t="s">
        <v>1766</v>
      </c>
      <c r="C181" s="11" t="s">
        <v>1767</v>
      </c>
      <c r="D181" s="11" t="s">
        <v>550</v>
      </c>
      <c r="E181" s="11" t="s">
        <v>59</v>
      </c>
      <c r="F181" s="11" t="s">
        <v>60</v>
      </c>
      <c r="G181" s="11"/>
      <c r="H181" s="11"/>
      <c r="I181" s="11"/>
      <c r="J181" s="7" t="str">
        <f aca="false">IF(A181="","",IF(AND(F181="Approved",G181&lt;&gt;"",H181&lt;&gt;""),"Ready","Not yet"))</f>
        <v>Not yet</v>
      </c>
    </row>
    <row r="182" customFormat="false" ht="15" hidden="false" customHeight="true" outlineLevel="0" collapsed="false">
      <c r="A182" s="11" t="s">
        <v>1768</v>
      </c>
      <c r="B182" s="11" t="s">
        <v>1769</v>
      </c>
      <c r="C182" s="11" t="s">
        <v>1770</v>
      </c>
      <c r="D182" s="11" t="s">
        <v>576</v>
      </c>
      <c r="E182" s="11" t="s">
        <v>59</v>
      </c>
      <c r="F182" s="11" t="s">
        <v>60</v>
      </c>
      <c r="G182" s="11"/>
      <c r="H182" s="11"/>
      <c r="I182" s="11"/>
      <c r="J182" s="7" t="str">
        <f aca="false">IF(A182="","",IF(AND(F182="Approved",G182&lt;&gt;"",H182&lt;&gt;""),"Ready","Not yet"))</f>
        <v>Not yet</v>
      </c>
    </row>
    <row r="183" customFormat="false" ht="15" hidden="false" customHeight="true" outlineLevel="0" collapsed="false">
      <c r="A183" s="11" t="s">
        <v>1771</v>
      </c>
      <c r="B183" s="11" t="s">
        <v>1772</v>
      </c>
      <c r="C183" s="11" t="s">
        <v>1773</v>
      </c>
      <c r="D183" s="11" t="s">
        <v>576</v>
      </c>
      <c r="E183" s="11" t="s">
        <v>59</v>
      </c>
      <c r="F183" s="11" t="s">
        <v>60</v>
      </c>
      <c r="G183" s="11"/>
      <c r="H183" s="11"/>
      <c r="I183" s="11"/>
      <c r="J183" s="7" t="str">
        <f aca="false">IF(A183="","",IF(AND(F183="Approved",G183&lt;&gt;"",H183&lt;&gt;""),"Ready","Not yet"))</f>
        <v>Not yet</v>
      </c>
    </row>
    <row r="184" customFormat="false" ht="15" hidden="false" customHeight="true" outlineLevel="0" collapsed="false">
      <c r="A184" s="11" t="s">
        <v>1774</v>
      </c>
      <c r="B184" s="11" t="s">
        <v>1775</v>
      </c>
      <c r="C184" s="11" t="s">
        <v>1776</v>
      </c>
      <c r="D184" s="11" t="s">
        <v>377</v>
      </c>
      <c r="E184" s="11" t="s">
        <v>59</v>
      </c>
      <c r="F184" s="11" t="s">
        <v>60</v>
      </c>
      <c r="G184" s="11"/>
      <c r="H184" s="11"/>
      <c r="I184" s="11"/>
      <c r="J184" s="7" t="str">
        <f aca="false">IF(A184="","",IF(AND(F184="Approved",G184&lt;&gt;"",H184&lt;&gt;""),"Ready","Not yet"))</f>
        <v>Not yet</v>
      </c>
    </row>
    <row r="185" customFormat="false" ht="15" hidden="false" customHeight="true" outlineLevel="0" collapsed="false">
      <c r="A185" s="11" t="s">
        <v>416</v>
      </c>
      <c r="B185" s="11" t="s">
        <v>418</v>
      </c>
      <c r="C185" s="11" t="s">
        <v>419</v>
      </c>
      <c r="D185" s="11" t="s">
        <v>377</v>
      </c>
      <c r="E185" s="11" t="s">
        <v>59</v>
      </c>
      <c r="F185" s="11" t="s">
        <v>60</v>
      </c>
      <c r="G185" s="11"/>
      <c r="H185" s="11"/>
      <c r="I185" s="11"/>
      <c r="J185" s="7" t="str">
        <f aca="false">IF(A185="","",IF(AND(F185="Approved",G185&lt;&gt;"",H185&lt;&gt;""),"Ready","Not yet"))</f>
        <v>Not yet</v>
      </c>
    </row>
    <row r="186" customFormat="false" ht="15" hidden="false" customHeight="true" outlineLevel="0" collapsed="false">
      <c r="A186" s="11" t="s">
        <v>1777</v>
      </c>
      <c r="B186" s="11" t="s">
        <v>1778</v>
      </c>
      <c r="C186" s="11" t="s">
        <v>1779</v>
      </c>
      <c r="D186" s="11" t="s">
        <v>550</v>
      </c>
      <c r="E186" s="11" t="s">
        <v>59</v>
      </c>
      <c r="F186" s="11" t="s">
        <v>60</v>
      </c>
      <c r="G186" s="11"/>
      <c r="H186" s="11"/>
      <c r="I186" s="11"/>
      <c r="J186" s="7" t="str">
        <f aca="false">IF(A186="","",IF(AND(F186="Approved",G186&lt;&gt;"",H186&lt;&gt;""),"Ready","Not yet"))</f>
        <v>Not yet</v>
      </c>
    </row>
    <row r="187" customFormat="false" ht="15" hidden="false" customHeight="true" outlineLevel="0" collapsed="false">
      <c r="A187" s="11" t="s">
        <v>1780</v>
      </c>
      <c r="B187" s="11" t="s">
        <v>1781</v>
      </c>
      <c r="C187" s="11" t="s">
        <v>1782</v>
      </c>
      <c r="D187" s="11" t="s">
        <v>377</v>
      </c>
      <c r="E187" s="11" t="s">
        <v>59</v>
      </c>
      <c r="F187" s="11" t="s">
        <v>60</v>
      </c>
      <c r="G187" s="11"/>
      <c r="H187" s="11"/>
      <c r="I187" s="11"/>
      <c r="J187" s="7" t="str">
        <f aca="false">IF(A187="","",IF(AND(F187="Approved",G187&lt;&gt;"",H187&lt;&gt;""),"Ready","Not yet"))</f>
        <v>Not yet</v>
      </c>
    </row>
    <row r="188" customFormat="false" ht="15" hidden="false" customHeight="true" outlineLevel="0" collapsed="false">
      <c r="A188" s="11" t="s">
        <v>1783</v>
      </c>
      <c r="B188" s="11" t="s">
        <v>1784</v>
      </c>
      <c r="C188" s="11" t="s">
        <v>1785</v>
      </c>
      <c r="D188" s="11" t="s">
        <v>377</v>
      </c>
      <c r="E188" s="11" t="s">
        <v>59</v>
      </c>
      <c r="F188" s="11" t="s">
        <v>60</v>
      </c>
      <c r="G188" s="11"/>
      <c r="H188" s="11"/>
      <c r="I188" s="11"/>
      <c r="J188" s="7" t="str">
        <f aca="false">IF(A188="","",IF(AND(F188="Approved",G188&lt;&gt;"",H188&lt;&gt;""),"Ready","Not yet"))</f>
        <v>Not yet</v>
      </c>
    </row>
    <row r="189" customFormat="false" ht="15" hidden="false" customHeight="true" outlineLevel="0" collapsed="false">
      <c r="A189" s="11" t="s">
        <v>1786</v>
      </c>
      <c r="B189" s="11" t="s">
        <v>1787</v>
      </c>
      <c r="C189" s="11" t="s">
        <v>1788</v>
      </c>
      <c r="D189" s="11" t="s">
        <v>377</v>
      </c>
      <c r="E189" s="11" t="s">
        <v>59</v>
      </c>
      <c r="F189" s="11" t="s">
        <v>60</v>
      </c>
      <c r="G189" s="11"/>
      <c r="H189" s="11"/>
      <c r="I189" s="11"/>
      <c r="J189" s="7" t="str">
        <f aca="false">IF(A189="","",IF(AND(F189="Approved",G189&lt;&gt;"",H189&lt;&gt;""),"Ready","Not yet"))</f>
        <v>Not yet</v>
      </c>
    </row>
    <row r="190" customFormat="false" ht="15" hidden="false" customHeight="true" outlineLevel="0" collapsed="false">
      <c r="A190" s="11" t="s">
        <v>893</v>
      </c>
      <c r="B190" s="11" t="s">
        <v>1789</v>
      </c>
      <c r="C190" s="11" t="s">
        <v>1790</v>
      </c>
      <c r="D190" s="11" t="s">
        <v>377</v>
      </c>
      <c r="E190" s="11" t="s">
        <v>59</v>
      </c>
      <c r="F190" s="11" t="s">
        <v>60</v>
      </c>
      <c r="G190" s="11"/>
      <c r="H190" s="11"/>
      <c r="I190" s="11"/>
      <c r="J190" s="7" t="str">
        <f aca="false">IF(A190="","",IF(AND(F190="Approved",G190&lt;&gt;"",H190&lt;&gt;""),"Ready","Not yet"))</f>
        <v>Not yet</v>
      </c>
    </row>
    <row r="191" customFormat="false" ht="15" hidden="false" customHeight="true" outlineLevel="0" collapsed="false">
      <c r="A191" s="11" t="s">
        <v>673</v>
      </c>
      <c r="B191" s="11" t="s">
        <v>675</v>
      </c>
      <c r="C191" s="11" t="s">
        <v>676</v>
      </c>
      <c r="D191" s="11" t="s">
        <v>550</v>
      </c>
      <c r="E191" s="11" t="s">
        <v>59</v>
      </c>
      <c r="F191" s="11" t="s">
        <v>60</v>
      </c>
      <c r="G191" s="11"/>
      <c r="H191" s="11"/>
      <c r="I191" s="11"/>
      <c r="J191" s="7" t="str">
        <f aca="false">IF(A191="","",IF(AND(F191="Approved",G191&lt;&gt;"",H191&lt;&gt;""),"Ready","Not yet"))</f>
        <v>Not yet</v>
      </c>
    </row>
    <row r="192" customFormat="false" ht="15" hidden="false" customHeight="true" outlineLevel="0" collapsed="false">
      <c r="A192" s="11" t="s">
        <v>1791</v>
      </c>
      <c r="B192" s="11" t="s">
        <v>1792</v>
      </c>
      <c r="C192" s="11" t="s">
        <v>1793</v>
      </c>
      <c r="D192" s="11" t="s">
        <v>377</v>
      </c>
      <c r="E192" s="11" t="s">
        <v>59</v>
      </c>
      <c r="F192" s="11" t="s">
        <v>60</v>
      </c>
      <c r="G192" s="11"/>
      <c r="H192" s="11"/>
      <c r="I192" s="11"/>
      <c r="J192" s="7" t="str">
        <f aca="false">IF(A192="","",IF(AND(F192="Approved",G192&lt;&gt;"",H192&lt;&gt;""),"Ready","Not yet"))</f>
        <v>Not yet</v>
      </c>
    </row>
    <row r="193" customFormat="false" ht="15" hidden="false" customHeight="true" outlineLevel="0" collapsed="false">
      <c r="A193" s="11" t="s">
        <v>1794</v>
      </c>
      <c r="B193" s="11" t="s">
        <v>1795</v>
      </c>
      <c r="C193" s="11" t="s">
        <v>1796</v>
      </c>
      <c r="D193" s="11" t="s">
        <v>529</v>
      </c>
      <c r="E193" s="11" t="s">
        <v>59</v>
      </c>
      <c r="F193" s="11" t="s">
        <v>60</v>
      </c>
      <c r="G193" s="11"/>
      <c r="H193" s="11"/>
      <c r="I193" s="11"/>
      <c r="J193" s="7" t="str">
        <f aca="false">IF(A193="","",IF(AND(F193="Approved",G193&lt;&gt;"",H193&lt;&gt;""),"Ready","Not yet"))</f>
        <v>Not yet</v>
      </c>
    </row>
    <row r="194" customFormat="false" ht="15" hidden="false" customHeight="true" outlineLevel="0" collapsed="false">
      <c r="A194" s="11" t="s">
        <v>1797</v>
      </c>
      <c r="B194" s="11" t="s">
        <v>1798</v>
      </c>
      <c r="C194" s="11" t="s">
        <v>1799</v>
      </c>
      <c r="D194" s="11" t="s">
        <v>498</v>
      </c>
      <c r="E194" s="11" t="s">
        <v>59</v>
      </c>
      <c r="F194" s="11" t="s">
        <v>60</v>
      </c>
      <c r="G194" s="11"/>
      <c r="H194" s="11"/>
      <c r="I194" s="11"/>
      <c r="J194" s="7" t="str">
        <f aca="false">IF(A194="","",IF(AND(F194="Approved",G194&lt;&gt;"",H194&lt;&gt;""),"Ready","Not yet"))</f>
        <v>Not yet</v>
      </c>
    </row>
    <row r="195" customFormat="false" ht="15" hidden="false" customHeight="true" outlineLevel="0" collapsed="false">
      <c r="A195" s="11" t="s">
        <v>1800</v>
      </c>
      <c r="B195" s="11" t="s">
        <v>1801</v>
      </c>
      <c r="C195" s="11" t="s">
        <v>1802</v>
      </c>
      <c r="D195" s="11" t="s">
        <v>498</v>
      </c>
      <c r="E195" s="11" t="s">
        <v>59</v>
      </c>
      <c r="F195" s="11" t="s">
        <v>60</v>
      </c>
      <c r="G195" s="11"/>
      <c r="H195" s="11"/>
      <c r="I195" s="11"/>
      <c r="J195" s="7" t="str">
        <f aca="false">IF(A195="","",IF(AND(F195="Approved",G195&lt;&gt;"",H195&lt;&gt;""),"Ready","Not yet"))</f>
        <v>Not yet</v>
      </c>
    </row>
    <row r="196" customFormat="false" ht="15" hidden="false" customHeight="true" outlineLevel="0" collapsed="false">
      <c r="A196" s="11" t="s">
        <v>1803</v>
      </c>
      <c r="B196" s="11" t="s">
        <v>1804</v>
      </c>
      <c r="C196" s="11" t="s">
        <v>1805</v>
      </c>
      <c r="D196" s="11" t="s">
        <v>487</v>
      </c>
      <c r="E196" s="11" t="s">
        <v>59</v>
      </c>
      <c r="F196" s="11" t="s">
        <v>60</v>
      </c>
      <c r="G196" s="11"/>
      <c r="H196" s="11"/>
      <c r="I196" s="11"/>
      <c r="J196" s="7" t="str">
        <f aca="false">IF(A196="","",IF(AND(F196="Approved",G196&lt;&gt;"",H196&lt;&gt;""),"Ready","Not yet"))</f>
        <v>Not yet</v>
      </c>
    </row>
    <row r="197" customFormat="false" ht="15" hidden="false" customHeight="true" outlineLevel="0" collapsed="false">
      <c r="A197" s="11" t="s">
        <v>1806</v>
      </c>
      <c r="B197" s="11" t="s">
        <v>1807</v>
      </c>
      <c r="C197" s="11" t="s">
        <v>1808</v>
      </c>
      <c r="D197" s="11" t="s">
        <v>498</v>
      </c>
      <c r="E197" s="11" t="s">
        <v>59</v>
      </c>
      <c r="F197" s="11" t="s">
        <v>60</v>
      </c>
      <c r="G197" s="11"/>
      <c r="H197" s="11"/>
      <c r="I197" s="11"/>
      <c r="J197" s="7" t="str">
        <f aca="false">IF(A197="","",IF(AND(F197="Approved",G197&lt;&gt;"",H197&lt;&gt;""),"Ready","Not yet"))</f>
        <v>Not yet</v>
      </c>
    </row>
    <row r="198" customFormat="false" ht="15" hidden="false" customHeight="true" outlineLevel="0" collapsed="false">
      <c r="A198" s="11" t="s">
        <v>1809</v>
      </c>
      <c r="B198" s="11" t="s">
        <v>1810</v>
      </c>
      <c r="C198" s="11" t="s">
        <v>1811</v>
      </c>
      <c r="D198" s="11" t="s">
        <v>498</v>
      </c>
      <c r="E198" s="11" t="s">
        <v>59</v>
      </c>
      <c r="F198" s="11" t="s">
        <v>60</v>
      </c>
      <c r="G198" s="11"/>
      <c r="H198" s="11"/>
      <c r="I198" s="11"/>
      <c r="J198" s="7" t="str">
        <f aca="false">IF(A198="","",IF(AND(F198="Approved",G198&lt;&gt;"",H198&lt;&gt;""),"Ready","Not yet"))</f>
        <v>Not yet</v>
      </c>
    </row>
    <row r="199" customFormat="false" ht="15" hidden="false" customHeight="true" outlineLevel="0" collapsed="false">
      <c r="A199" s="11" t="s">
        <v>1150</v>
      </c>
      <c r="B199" s="11" t="s">
        <v>1812</v>
      </c>
      <c r="C199" s="11" t="s">
        <v>1154</v>
      </c>
      <c r="D199" s="11" t="s">
        <v>683</v>
      </c>
      <c r="E199" s="11" t="s">
        <v>59</v>
      </c>
      <c r="F199" s="11" t="s">
        <v>60</v>
      </c>
      <c r="G199" s="11"/>
      <c r="H199" s="11"/>
      <c r="I199" s="11"/>
      <c r="J199" s="7" t="str">
        <f aca="false">IF(A199="","",IF(AND(F199="Approved",G199&lt;&gt;"",H199&lt;&gt;""),"Ready","Not yet"))</f>
        <v>Not yet</v>
      </c>
    </row>
    <row r="200" customFormat="false" ht="15" hidden="false" customHeight="true" outlineLevel="0" collapsed="false">
      <c r="A200" s="11" t="s">
        <v>1813</v>
      </c>
      <c r="B200" s="11" t="s">
        <v>1814</v>
      </c>
      <c r="C200" s="11" t="s">
        <v>1815</v>
      </c>
      <c r="D200" s="11" t="s">
        <v>377</v>
      </c>
      <c r="E200" s="11" t="s">
        <v>59</v>
      </c>
      <c r="F200" s="11" t="s">
        <v>60</v>
      </c>
      <c r="G200" s="11"/>
      <c r="H200" s="11"/>
      <c r="I200" s="11"/>
      <c r="J200" s="7" t="str">
        <f aca="false">IF(A200="","",IF(AND(F200="Approved",G200&lt;&gt;"",H200&lt;&gt;""),"Ready","Not yet"))</f>
        <v>Not yet</v>
      </c>
    </row>
    <row r="201" customFormat="false" ht="15" hidden="false" customHeight="true" outlineLevel="0" collapsed="false">
      <c r="A201" s="11" t="s">
        <v>1816</v>
      </c>
      <c r="B201" s="11" t="s">
        <v>1817</v>
      </c>
      <c r="C201" s="11" t="s">
        <v>1818</v>
      </c>
      <c r="D201" s="11" t="s">
        <v>498</v>
      </c>
      <c r="E201" s="11" t="s">
        <v>59</v>
      </c>
      <c r="F201" s="11" t="s">
        <v>60</v>
      </c>
      <c r="G201" s="11"/>
      <c r="H201" s="11"/>
      <c r="I201" s="11"/>
      <c r="J201" s="7" t="str">
        <f aca="false">IF(A201="","",IF(AND(F201="Approved",G201&lt;&gt;"",H201&lt;&gt;""),"Ready","Not yet"))</f>
        <v>Not yet</v>
      </c>
    </row>
    <row r="202" customFormat="false" ht="15" hidden="false" customHeight="true" outlineLevel="0" collapsed="false">
      <c r="A202" s="1" t="s">
        <v>1819</v>
      </c>
      <c r="B202" s="1" t="s">
        <v>1820</v>
      </c>
      <c r="C202" s="1" t="s">
        <v>1821</v>
      </c>
      <c r="D202" s="1" t="s">
        <v>683</v>
      </c>
      <c r="E202" s="1" t="s">
        <v>59</v>
      </c>
      <c r="F202" s="1" t="s">
        <v>60</v>
      </c>
    </row>
    <row r="203" customFormat="false" ht="15" hidden="false" customHeight="true" outlineLevel="0" collapsed="false">
      <c r="A203" s="1" t="s">
        <v>1822</v>
      </c>
      <c r="B203" s="1" t="s">
        <v>1823</v>
      </c>
      <c r="C203" s="1" t="s">
        <v>1824</v>
      </c>
      <c r="D203" s="1" t="s">
        <v>576</v>
      </c>
      <c r="E203" s="1" t="s">
        <v>59</v>
      </c>
      <c r="F203" s="1" t="s">
        <v>60</v>
      </c>
    </row>
    <row r="204" customFormat="false" ht="15" hidden="false" customHeight="true" outlineLevel="0" collapsed="false">
      <c r="A204" s="1" t="s">
        <v>1825</v>
      </c>
      <c r="B204" s="1" t="s">
        <v>1826</v>
      </c>
      <c r="C204" s="1" t="s">
        <v>1827</v>
      </c>
      <c r="D204" s="1" t="s">
        <v>683</v>
      </c>
      <c r="E204" s="1" t="s">
        <v>59</v>
      </c>
      <c r="F204" s="1" t="s">
        <v>60</v>
      </c>
    </row>
    <row r="205" customFormat="false" ht="15" hidden="false" customHeight="true" outlineLevel="0" collapsed="false">
      <c r="A205" s="1" t="s">
        <v>1828</v>
      </c>
      <c r="B205" s="1" t="s">
        <v>1829</v>
      </c>
      <c r="C205" s="1" t="s">
        <v>1830</v>
      </c>
      <c r="D205" s="1" t="s">
        <v>683</v>
      </c>
      <c r="E205" s="1" t="s">
        <v>59</v>
      </c>
      <c r="F205" s="1" t="s">
        <v>60</v>
      </c>
    </row>
    <row r="206" customFormat="false" ht="15" hidden="false" customHeight="true" outlineLevel="0" collapsed="false">
      <c r="A206" s="1" t="s">
        <v>1831</v>
      </c>
      <c r="B206" s="1" t="s">
        <v>1832</v>
      </c>
      <c r="C206" s="1" t="s">
        <v>1833</v>
      </c>
      <c r="D206" s="1" t="s">
        <v>683</v>
      </c>
      <c r="E206" s="1" t="s">
        <v>59</v>
      </c>
      <c r="F206" s="1" t="s">
        <v>60</v>
      </c>
    </row>
    <row r="207" customFormat="false" ht="15" hidden="false" customHeight="true" outlineLevel="0" collapsed="false">
      <c r="A207" s="1" t="s">
        <v>1834</v>
      </c>
      <c r="B207" s="1" t="s">
        <v>1835</v>
      </c>
      <c r="C207" s="1" t="s">
        <v>1836</v>
      </c>
      <c r="D207" s="1" t="s">
        <v>576</v>
      </c>
      <c r="E207" s="1" t="s">
        <v>59</v>
      </c>
      <c r="F207" s="1" t="s">
        <v>60</v>
      </c>
    </row>
    <row r="208" customFormat="false" ht="15" hidden="false" customHeight="true" outlineLevel="0" collapsed="false">
      <c r="A208" s="1" t="s">
        <v>411</v>
      </c>
      <c r="B208" s="1" t="s">
        <v>413</v>
      </c>
      <c r="C208" s="1" t="s">
        <v>414</v>
      </c>
      <c r="D208" s="1" t="s">
        <v>377</v>
      </c>
      <c r="E208" s="1" t="s">
        <v>59</v>
      </c>
      <c r="F208" s="1" t="s">
        <v>60</v>
      </c>
    </row>
    <row r="209" customFormat="false" ht="15" hidden="false" customHeight="true" outlineLevel="0" collapsed="false">
      <c r="A209" s="1" t="s">
        <v>1837</v>
      </c>
      <c r="B209" s="1" t="s">
        <v>1838</v>
      </c>
      <c r="C209" s="1" t="s">
        <v>1839</v>
      </c>
      <c r="D209" s="1" t="s">
        <v>487</v>
      </c>
      <c r="E209" s="1" t="s">
        <v>59</v>
      </c>
      <c r="F209" s="1" t="s">
        <v>60</v>
      </c>
    </row>
    <row r="210" customFormat="false" ht="15" hidden="false" customHeight="true" outlineLevel="0" collapsed="false">
      <c r="A210" s="1" t="s">
        <v>1840</v>
      </c>
      <c r="B210" s="1" t="s">
        <v>1841</v>
      </c>
      <c r="C210" s="1" t="s">
        <v>1842</v>
      </c>
      <c r="D210" s="1" t="s">
        <v>377</v>
      </c>
      <c r="E210" s="1" t="s">
        <v>59</v>
      </c>
      <c r="F210" s="1" t="s">
        <v>60</v>
      </c>
    </row>
    <row r="211" customFormat="false" ht="15" hidden="false" customHeight="true" outlineLevel="0" collapsed="false">
      <c r="A211" s="1" t="s">
        <v>535</v>
      </c>
      <c r="B211" s="1" t="s">
        <v>537</v>
      </c>
      <c r="C211" s="1" t="s">
        <v>538</v>
      </c>
      <c r="D211" s="1" t="s">
        <v>529</v>
      </c>
      <c r="E211" s="1" t="s">
        <v>59</v>
      </c>
      <c r="F211" s="1" t="s">
        <v>60</v>
      </c>
    </row>
    <row r="212" customFormat="false" ht="15" hidden="false" customHeight="true" outlineLevel="0" collapsed="false">
      <c r="A212" s="1" t="s">
        <v>1843</v>
      </c>
      <c r="B212" s="1" t="s">
        <v>1844</v>
      </c>
      <c r="C212" s="1" t="s">
        <v>1845</v>
      </c>
      <c r="D212" s="1" t="s">
        <v>377</v>
      </c>
      <c r="E212" s="1" t="s">
        <v>59</v>
      </c>
      <c r="F212" s="1" t="s">
        <v>60</v>
      </c>
    </row>
    <row r="213" customFormat="false" ht="15" hidden="false" customHeight="true" outlineLevel="0" collapsed="false">
      <c r="A213" s="1" t="s">
        <v>1846</v>
      </c>
      <c r="B213" s="1" t="s">
        <v>1847</v>
      </c>
      <c r="C213" s="1" t="s">
        <v>1848</v>
      </c>
      <c r="D213" s="1" t="s">
        <v>683</v>
      </c>
      <c r="E213" s="1" t="s">
        <v>59</v>
      </c>
      <c r="F213" s="1" t="s">
        <v>60</v>
      </c>
    </row>
    <row r="214" customFormat="false" ht="15" hidden="false" customHeight="true" outlineLevel="0" collapsed="false">
      <c r="A214" s="1" t="s">
        <v>1849</v>
      </c>
      <c r="B214" s="1" t="s">
        <v>1850</v>
      </c>
      <c r="C214" s="1" t="s">
        <v>1851</v>
      </c>
      <c r="D214" s="1" t="s">
        <v>683</v>
      </c>
      <c r="E214" s="1" t="s">
        <v>59</v>
      </c>
      <c r="F214" s="1" t="s">
        <v>60</v>
      </c>
    </row>
    <row r="215" customFormat="false" ht="15" hidden="false" customHeight="true" outlineLevel="0" collapsed="false">
      <c r="A215" s="1" t="s">
        <v>1852</v>
      </c>
      <c r="B215" s="1" t="s">
        <v>1853</v>
      </c>
      <c r="C215" s="1" t="s">
        <v>1854</v>
      </c>
      <c r="D215" s="1" t="s">
        <v>451</v>
      </c>
      <c r="E215" s="1" t="s">
        <v>59</v>
      </c>
      <c r="F215" s="1" t="s">
        <v>60</v>
      </c>
    </row>
    <row r="216" customFormat="false" ht="15" hidden="false" customHeight="true" outlineLevel="0" collapsed="false">
      <c r="A216" s="1" t="s">
        <v>1855</v>
      </c>
      <c r="B216" s="1" t="s">
        <v>1856</v>
      </c>
      <c r="C216" s="1" t="s">
        <v>1857</v>
      </c>
      <c r="D216" s="1" t="s">
        <v>550</v>
      </c>
      <c r="E216" s="1" t="s">
        <v>59</v>
      </c>
      <c r="F216" s="1" t="s">
        <v>60</v>
      </c>
    </row>
    <row r="217" customFormat="false" ht="15" hidden="false" customHeight="true" outlineLevel="0" collapsed="false">
      <c r="A217" s="1" t="s">
        <v>1858</v>
      </c>
      <c r="B217" s="1" t="s">
        <v>1859</v>
      </c>
      <c r="C217" s="1" t="s">
        <v>1860</v>
      </c>
      <c r="D217" s="1" t="s">
        <v>451</v>
      </c>
      <c r="E217" s="1" t="s">
        <v>59</v>
      </c>
      <c r="F217" s="1" t="s">
        <v>60</v>
      </c>
    </row>
    <row r="218" customFormat="false" ht="15" hidden="false" customHeight="true" outlineLevel="0" collapsed="false">
      <c r="A218" s="1" t="s">
        <v>1861</v>
      </c>
      <c r="B218" s="1" t="s">
        <v>1862</v>
      </c>
      <c r="C218" s="1" t="s">
        <v>1863</v>
      </c>
      <c r="D218" s="1" t="s">
        <v>377</v>
      </c>
      <c r="E218" s="1" t="s">
        <v>59</v>
      </c>
      <c r="F218" s="1" t="s">
        <v>60</v>
      </c>
    </row>
    <row r="219" customFormat="false" ht="15" hidden="false" customHeight="true" outlineLevel="0" collapsed="false">
      <c r="A219" s="1" t="s">
        <v>1864</v>
      </c>
      <c r="B219" s="1" t="s">
        <v>1865</v>
      </c>
      <c r="C219" s="1" t="s">
        <v>1866</v>
      </c>
      <c r="D219" s="1" t="s">
        <v>550</v>
      </c>
      <c r="E219" s="1" t="s">
        <v>59</v>
      </c>
      <c r="F219" s="1" t="s">
        <v>60</v>
      </c>
    </row>
    <row r="220" customFormat="false" ht="15" hidden="false" customHeight="true" outlineLevel="0" collapsed="false">
      <c r="A220" s="1" t="s">
        <v>1867</v>
      </c>
      <c r="B220" s="1" t="s">
        <v>1868</v>
      </c>
      <c r="C220" s="1" t="s">
        <v>1869</v>
      </c>
      <c r="D220" s="1" t="s">
        <v>550</v>
      </c>
      <c r="E220" s="1" t="s">
        <v>59</v>
      </c>
      <c r="F220" s="1" t="s">
        <v>60</v>
      </c>
    </row>
    <row r="221" customFormat="false" ht="15" hidden="false" customHeight="true" outlineLevel="0" collapsed="false">
      <c r="A221" s="1" t="s">
        <v>1870</v>
      </c>
      <c r="B221" s="1" t="s">
        <v>1871</v>
      </c>
      <c r="C221" s="1" t="s">
        <v>1872</v>
      </c>
      <c r="D221" s="1" t="s">
        <v>550</v>
      </c>
      <c r="E221" s="1" t="s">
        <v>59</v>
      </c>
      <c r="F221" s="1" t="s">
        <v>60</v>
      </c>
    </row>
    <row r="222" customFormat="false" ht="15" hidden="false" customHeight="true" outlineLevel="0" collapsed="false">
      <c r="A222" s="1" t="s">
        <v>1873</v>
      </c>
      <c r="B222" s="1" t="s">
        <v>1874</v>
      </c>
      <c r="C222" s="1" t="s">
        <v>1875</v>
      </c>
      <c r="D222" s="1" t="s">
        <v>550</v>
      </c>
      <c r="E222" s="1" t="s">
        <v>59</v>
      </c>
      <c r="F222" s="1" t="s">
        <v>60</v>
      </c>
    </row>
    <row r="223" customFormat="false" ht="15" hidden="false" customHeight="true" outlineLevel="0" collapsed="false">
      <c r="A223" s="1" t="s">
        <v>1876</v>
      </c>
      <c r="B223" s="1" t="s">
        <v>1877</v>
      </c>
      <c r="C223" s="1" t="s">
        <v>1878</v>
      </c>
      <c r="D223" s="1" t="s">
        <v>550</v>
      </c>
      <c r="E223" s="1" t="s">
        <v>59</v>
      </c>
      <c r="F223" s="1" t="s">
        <v>60</v>
      </c>
    </row>
    <row r="224" customFormat="false" ht="15" hidden="false" customHeight="true" outlineLevel="0" collapsed="false">
      <c r="A224" s="1" t="s">
        <v>1879</v>
      </c>
      <c r="B224" s="1" t="s">
        <v>1880</v>
      </c>
      <c r="C224" s="1" t="s">
        <v>1881</v>
      </c>
      <c r="D224" s="1" t="s">
        <v>550</v>
      </c>
      <c r="E224" s="1" t="s">
        <v>59</v>
      </c>
      <c r="F224" s="1" t="s">
        <v>60</v>
      </c>
    </row>
    <row r="225" customFormat="false" ht="15" hidden="false" customHeight="true" outlineLevel="0" collapsed="false">
      <c r="A225" s="1" t="s">
        <v>1882</v>
      </c>
      <c r="B225" s="1" t="s">
        <v>1883</v>
      </c>
      <c r="C225" s="1" t="s">
        <v>1884</v>
      </c>
      <c r="D225" s="1" t="s">
        <v>550</v>
      </c>
      <c r="E225" s="1" t="s">
        <v>59</v>
      </c>
      <c r="F225" s="1" t="s">
        <v>60</v>
      </c>
    </row>
    <row r="226" customFormat="false" ht="15" hidden="false" customHeight="true" outlineLevel="0" collapsed="false">
      <c r="A226" s="1" t="s">
        <v>1885</v>
      </c>
      <c r="B226" s="1" t="s">
        <v>1886</v>
      </c>
      <c r="C226" s="1" t="s">
        <v>1887</v>
      </c>
      <c r="D226" s="1" t="s">
        <v>377</v>
      </c>
      <c r="E226" s="1" t="s">
        <v>59</v>
      </c>
      <c r="F226" s="1" t="s">
        <v>60</v>
      </c>
    </row>
    <row r="227" customFormat="false" ht="15" hidden="false" customHeight="true" outlineLevel="0" collapsed="false">
      <c r="A227" s="1" t="s">
        <v>1888</v>
      </c>
      <c r="B227" s="1" t="s">
        <v>1889</v>
      </c>
      <c r="C227" s="1" t="s">
        <v>1890</v>
      </c>
      <c r="D227" s="1" t="s">
        <v>377</v>
      </c>
      <c r="E227" s="1" t="s">
        <v>59</v>
      </c>
      <c r="F227" s="1" t="s">
        <v>60</v>
      </c>
    </row>
    <row r="228" customFormat="false" ht="15" hidden="false" customHeight="true" outlineLevel="0" collapsed="false">
      <c r="A228" s="1" t="s">
        <v>1891</v>
      </c>
      <c r="B228" s="1" t="s">
        <v>1892</v>
      </c>
      <c r="C228" s="1" t="s">
        <v>1893</v>
      </c>
      <c r="D228" s="1" t="s">
        <v>377</v>
      </c>
      <c r="E228" s="1" t="s">
        <v>59</v>
      </c>
      <c r="F228" s="1" t="s">
        <v>60</v>
      </c>
    </row>
    <row r="229" customFormat="false" ht="15" hidden="false" customHeight="true" outlineLevel="0" collapsed="false">
      <c r="A229" s="1" t="s">
        <v>1894</v>
      </c>
      <c r="B229" s="1" t="s">
        <v>1895</v>
      </c>
      <c r="C229" s="1" t="s">
        <v>1896</v>
      </c>
      <c r="D229" s="1" t="s">
        <v>377</v>
      </c>
      <c r="E229" s="1" t="s">
        <v>59</v>
      </c>
      <c r="F229" s="1" t="s">
        <v>60</v>
      </c>
    </row>
    <row r="230" customFormat="false" ht="15" hidden="false" customHeight="true" outlineLevel="0" collapsed="false">
      <c r="A230" s="1" t="s">
        <v>1897</v>
      </c>
      <c r="B230" s="1" t="s">
        <v>1898</v>
      </c>
      <c r="C230" s="1" t="s">
        <v>1899</v>
      </c>
      <c r="D230" s="1" t="s">
        <v>377</v>
      </c>
      <c r="E230" s="1" t="s">
        <v>59</v>
      </c>
      <c r="F230" s="1" t="s">
        <v>60</v>
      </c>
    </row>
    <row r="231" customFormat="false" ht="15" hidden="false" customHeight="true" outlineLevel="0" collapsed="false">
      <c r="A231" s="1" t="s">
        <v>1900</v>
      </c>
      <c r="B231" s="1" t="s">
        <v>1901</v>
      </c>
      <c r="C231" s="1" t="s">
        <v>1902</v>
      </c>
      <c r="D231" s="1" t="s">
        <v>377</v>
      </c>
      <c r="E231" s="1" t="s">
        <v>59</v>
      </c>
      <c r="F231" s="1" t="s">
        <v>60</v>
      </c>
    </row>
    <row r="232" customFormat="false" ht="15" hidden="false" customHeight="true" outlineLevel="0" collapsed="false">
      <c r="A232" s="1" t="s">
        <v>1903</v>
      </c>
      <c r="B232" s="1" t="s">
        <v>1904</v>
      </c>
      <c r="C232" s="1" t="s">
        <v>1905</v>
      </c>
      <c r="D232" s="1" t="s">
        <v>451</v>
      </c>
      <c r="E232" s="1" t="s">
        <v>59</v>
      </c>
      <c r="F232" s="1" t="s">
        <v>60</v>
      </c>
    </row>
    <row r="233" customFormat="false" ht="15" hidden="false" customHeight="true" outlineLevel="0" collapsed="false">
      <c r="A233" s="1" t="s">
        <v>1906</v>
      </c>
      <c r="B233" s="1" t="s">
        <v>1907</v>
      </c>
      <c r="C233" s="1" t="s">
        <v>1908</v>
      </c>
      <c r="D233" s="1" t="s">
        <v>451</v>
      </c>
      <c r="E233" s="1" t="s">
        <v>59</v>
      </c>
      <c r="F233" s="1" t="s">
        <v>60</v>
      </c>
    </row>
    <row r="234" customFormat="false" ht="15" hidden="false" customHeight="true" outlineLevel="0" collapsed="false">
      <c r="A234" s="1" t="s">
        <v>1909</v>
      </c>
      <c r="B234" s="1" t="s">
        <v>1910</v>
      </c>
      <c r="C234" s="1" t="s">
        <v>1911</v>
      </c>
      <c r="D234" s="1" t="s">
        <v>377</v>
      </c>
      <c r="E234" s="1" t="s">
        <v>59</v>
      </c>
      <c r="F234" s="1" t="s">
        <v>60</v>
      </c>
    </row>
    <row r="235" customFormat="false" ht="15" hidden="false" customHeight="true" outlineLevel="0" collapsed="false">
      <c r="A235" s="1" t="s">
        <v>1912</v>
      </c>
      <c r="B235" s="1" t="s">
        <v>1913</v>
      </c>
      <c r="C235" s="1" t="s">
        <v>1914</v>
      </c>
      <c r="D235" s="1" t="s">
        <v>377</v>
      </c>
      <c r="E235" s="1" t="s">
        <v>59</v>
      </c>
      <c r="F235" s="1" t="s">
        <v>60</v>
      </c>
    </row>
    <row r="236" customFormat="false" ht="15" hidden="false" customHeight="true" outlineLevel="0" collapsed="false">
      <c r="A236" s="1" t="s">
        <v>1915</v>
      </c>
      <c r="B236" s="1" t="s">
        <v>1916</v>
      </c>
      <c r="C236" s="1" t="s">
        <v>1917</v>
      </c>
      <c r="D236" s="1" t="s">
        <v>377</v>
      </c>
      <c r="E236" s="1" t="s">
        <v>59</v>
      </c>
      <c r="F236" s="1" t="s">
        <v>60</v>
      </c>
    </row>
    <row r="237" customFormat="false" ht="15" hidden="false" customHeight="true" outlineLevel="0" collapsed="false">
      <c r="A237" s="1" t="s">
        <v>1918</v>
      </c>
      <c r="B237" s="1" t="s">
        <v>1919</v>
      </c>
      <c r="C237" s="1" t="s">
        <v>1920</v>
      </c>
      <c r="D237" s="1" t="s">
        <v>377</v>
      </c>
      <c r="E237" s="1" t="s">
        <v>59</v>
      </c>
      <c r="F237" s="1" t="s">
        <v>60</v>
      </c>
    </row>
    <row r="238" customFormat="false" ht="15" hidden="false" customHeight="true" outlineLevel="0" collapsed="false">
      <c r="A238" s="1" t="s">
        <v>1921</v>
      </c>
      <c r="B238" s="1" t="s">
        <v>1922</v>
      </c>
      <c r="C238" s="1" t="s">
        <v>1923</v>
      </c>
      <c r="D238" s="1" t="s">
        <v>451</v>
      </c>
      <c r="E238" s="1" t="s">
        <v>59</v>
      </c>
      <c r="F238" s="1" t="s">
        <v>60</v>
      </c>
    </row>
    <row r="239" customFormat="false" ht="15" hidden="false" customHeight="true" outlineLevel="0" collapsed="false">
      <c r="A239" s="1" t="s">
        <v>1924</v>
      </c>
      <c r="B239" s="1" t="s">
        <v>1925</v>
      </c>
      <c r="C239" s="1" t="s">
        <v>1926</v>
      </c>
      <c r="D239" s="1" t="s">
        <v>550</v>
      </c>
      <c r="E239" s="1" t="s">
        <v>59</v>
      </c>
      <c r="F239" s="1" t="s">
        <v>60</v>
      </c>
    </row>
    <row r="240" customFormat="false" ht="15" hidden="false" customHeight="true" outlineLevel="0" collapsed="false">
      <c r="A240" s="1" t="s">
        <v>1927</v>
      </c>
      <c r="B240" s="1" t="s">
        <v>1928</v>
      </c>
      <c r="C240" s="1" t="s">
        <v>1929</v>
      </c>
      <c r="D240" s="1" t="s">
        <v>487</v>
      </c>
      <c r="E240" s="1" t="s">
        <v>59</v>
      </c>
      <c r="F240" s="1" t="s">
        <v>60</v>
      </c>
    </row>
  </sheetData>
  <autoFilter ref="A1:J201"/>
  <dataValidations count="1">
    <dataValidation allowBlank="true" errorStyle="stop" operator="between" showDropDown="false" showErrorMessage="false" showInputMessage="false" sqref="F2:F201" type="list">
      <formula1>Lists!$E$2:$E$6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0"/>
    <col collapsed="false" customWidth="true" hidden="false" outlineLevel="0" max="3" min="3" style="1" width="28"/>
    <col collapsed="false" customWidth="true" hidden="false" outlineLevel="0" max="4" min="4" style="1" width="16"/>
    <col collapsed="false" customWidth="true" hidden="false" outlineLevel="0" max="5" min="5" style="1" width="18"/>
    <col collapsed="false" customWidth="true" hidden="false" outlineLevel="0" max="6" min="6" style="1" width="34"/>
    <col collapsed="false" customWidth="true" hidden="false" outlineLevel="0" max="7" min="7" style="1" width="36"/>
    <col collapsed="false" customWidth="true" hidden="false" outlineLevel="0" max="8" min="8" style="1" width="13"/>
    <col collapsed="false" customWidth="true" hidden="false" outlineLevel="0" max="9" min="9" style="1" width="14"/>
    <col collapsed="false" customWidth="true" hidden="false" outlineLevel="0" max="10" min="10" style="1" width="13"/>
  </cols>
  <sheetData>
    <row r="1" customFormat="false" ht="30" hidden="false" customHeight="true" outlineLevel="0" collapsed="false">
      <c r="A1" s="10" t="s">
        <v>1930</v>
      </c>
      <c r="B1" s="10" t="s">
        <v>41</v>
      </c>
      <c r="C1" s="10" t="s">
        <v>42</v>
      </c>
      <c r="D1" s="10" t="s">
        <v>43</v>
      </c>
      <c r="E1" s="10" t="s">
        <v>44</v>
      </c>
      <c r="F1" s="10" t="s">
        <v>1931</v>
      </c>
      <c r="G1" s="10" t="s">
        <v>1932</v>
      </c>
      <c r="H1" s="10" t="s">
        <v>47</v>
      </c>
      <c r="I1" s="10" t="s">
        <v>48</v>
      </c>
      <c r="J1" s="10" t="s">
        <v>49</v>
      </c>
    </row>
    <row r="2" customFormat="false" ht="15" hidden="false" customHeight="true" outlineLevel="0" collapsed="false">
      <c r="A2" s="11" t="s">
        <v>105</v>
      </c>
      <c r="B2" s="11" t="s">
        <v>812</v>
      </c>
      <c r="C2" s="11" t="s">
        <v>107</v>
      </c>
      <c r="D2" s="11" t="s">
        <v>108</v>
      </c>
      <c r="E2" s="11" t="s">
        <v>109</v>
      </c>
      <c r="F2" s="11" t="s">
        <v>1933</v>
      </c>
      <c r="G2" s="11"/>
      <c r="H2" s="11" t="s">
        <v>60</v>
      </c>
      <c r="I2" s="13"/>
      <c r="J2" s="14"/>
    </row>
    <row r="3" customFormat="false" ht="15" hidden="false" customHeight="true" outlineLevel="0" collapsed="false">
      <c r="A3" s="11" t="s">
        <v>116</v>
      </c>
      <c r="B3" s="11" t="s">
        <v>812</v>
      </c>
      <c r="C3" s="11" t="s">
        <v>117</v>
      </c>
      <c r="D3" s="11" t="s">
        <v>118</v>
      </c>
      <c r="E3" s="11" t="s">
        <v>119</v>
      </c>
      <c r="F3" s="11" t="s">
        <v>1934</v>
      </c>
      <c r="G3" s="11" t="s">
        <v>1935</v>
      </c>
      <c r="H3" s="11" t="s">
        <v>60</v>
      </c>
      <c r="I3" s="13"/>
      <c r="J3" s="14"/>
    </row>
    <row r="4" customFormat="false" ht="15" hidden="false" customHeight="true" outlineLevel="0" collapsed="false">
      <c r="A4" s="11" t="s">
        <v>111</v>
      </c>
      <c r="B4" s="11" t="s">
        <v>812</v>
      </c>
      <c r="C4" s="11" t="s">
        <v>112</v>
      </c>
      <c r="D4" s="11" t="s">
        <v>113</v>
      </c>
      <c r="E4" s="11" t="s">
        <v>114</v>
      </c>
      <c r="F4" s="11" t="s">
        <v>1936</v>
      </c>
      <c r="G4" s="11"/>
      <c r="H4" s="11" t="s">
        <v>60</v>
      </c>
      <c r="I4" s="13"/>
      <c r="J4" s="14"/>
    </row>
    <row r="5" customFormat="false" ht="15" hidden="false" customHeight="true" outlineLevel="0" collapsed="false">
      <c r="A5" s="11" t="s">
        <v>121</v>
      </c>
      <c r="B5" s="11" t="s">
        <v>812</v>
      </c>
      <c r="C5" s="11" t="s">
        <v>122</v>
      </c>
      <c r="D5" s="11" t="s">
        <v>123</v>
      </c>
      <c r="E5" s="11" t="s">
        <v>124</v>
      </c>
      <c r="F5" s="11" t="s">
        <v>1937</v>
      </c>
      <c r="G5" s="11"/>
      <c r="H5" s="11" t="s">
        <v>60</v>
      </c>
      <c r="I5" s="13"/>
      <c r="J5" s="14"/>
    </row>
    <row r="6" customFormat="false" ht="15" hidden="false" customHeight="true" outlineLevel="0" collapsed="false">
      <c r="A6" s="11" t="s">
        <v>172</v>
      </c>
      <c r="B6" s="11" t="s">
        <v>812</v>
      </c>
      <c r="C6" s="11" t="s">
        <v>173</v>
      </c>
      <c r="D6" s="11" t="s">
        <v>174</v>
      </c>
      <c r="E6" s="11" t="s">
        <v>773</v>
      </c>
      <c r="F6" s="11" t="s">
        <v>1938</v>
      </c>
      <c r="G6" s="11" t="s">
        <v>1939</v>
      </c>
      <c r="H6" s="11" t="s">
        <v>60</v>
      </c>
      <c r="I6" s="13"/>
      <c r="J6" s="14"/>
    </row>
    <row r="7" customFormat="false" ht="15" hidden="false" customHeight="true" outlineLevel="0" collapsed="false">
      <c r="A7" s="11" t="s">
        <v>236</v>
      </c>
      <c r="B7" s="11" t="s">
        <v>812</v>
      </c>
      <c r="C7" s="11" t="s">
        <v>237</v>
      </c>
      <c r="D7" s="11" t="s">
        <v>238</v>
      </c>
      <c r="E7" s="11" t="s">
        <v>749</v>
      </c>
      <c r="F7" s="11" t="s">
        <v>561</v>
      </c>
      <c r="G7" s="11"/>
      <c r="H7" s="11" t="s">
        <v>60</v>
      </c>
      <c r="I7" s="13"/>
      <c r="J7" s="14"/>
    </row>
    <row r="8" customFormat="false" ht="15" hidden="false" customHeight="true" outlineLevel="0" collapsed="false">
      <c r="A8" s="11" t="s">
        <v>66</v>
      </c>
      <c r="B8" s="11" t="s">
        <v>54</v>
      </c>
      <c r="C8" s="11" t="s">
        <v>747</v>
      </c>
      <c r="D8" s="11" t="s">
        <v>68</v>
      </c>
      <c r="E8" s="11" t="s">
        <v>749</v>
      </c>
      <c r="F8" s="11" t="s">
        <v>751</v>
      </c>
      <c r="G8" s="11" t="s">
        <v>1940</v>
      </c>
      <c r="H8" s="11" t="s">
        <v>60</v>
      </c>
      <c r="I8" s="13"/>
      <c r="J8" s="14"/>
    </row>
    <row r="9" customFormat="false" ht="15" hidden="false" customHeight="true" outlineLevel="0" collapsed="false">
      <c r="A9" s="11" t="s">
        <v>62</v>
      </c>
      <c r="B9" s="11" t="s">
        <v>54</v>
      </c>
      <c r="C9" s="11" t="s">
        <v>63</v>
      </c>
      <c r="D9" s="11" t="s">
        <v>64</v>
      </c>
      <c r="E9" s="11" t="s">
        <v>749</v>
      </c>
      <c r="F9" s="11" t="s">
        <v>756</v>
      </c>
      <c r="G9" s="11"/>
      <c r="H9" s="11" t="s">
        <v>60</v>
      </c>
      <c r="I9" s="13"/>
      <c r="J9" s="14"/>
    </row>
    <row r="10" customFormat="false" ht="15" hidden="false" customHeight="true" outlineLevel="0" collapsed="false">
      <c r="A10" s="11" t="s">
        <v>70</v>
      </c>
      <c r="B10" s="11" t="s">
        <v>54</v>
      </c>
      <c r="C10" s="11" t="s">
        <v>1941</v>
      </c>
      <c r="D10" s="11" t="s">
        <v>72</v>
      </c>
      <c r="E10" s="11" t="s">
        <v>749</v>
      </c>
      <c r="F10" s="11" t="s">
        <v>1942</v>
      </c>
      <c r="G10" s="11"/>
      <c r="H10" s="11" t="s">
        <v>60</v>
      </c>
      <c r="I10" s="13"/>
      <c r="J10" s="14"/>
    </row>
    <row r="11" customFormat="false" ht="23.25" hidden="false" customHeight="true" outlineLevel="0" collapsed="false">
      <c r="A11" s="11" t="s">
        <v>74</v>
      </c>
      <c r="B11" s="11" t="s">
        <v>54</v>
      </c>
      <c r="C11" s="11" t="s">
        <v>1943</v>
      </c>
      <c r="D11" s="11" t="s">
        <v>76</v>
      </c>
      <c r="E11" s="11" t="s">
        <v>749</v>
      </c>
      <c r="F11" s="11" t="s">
        <v>1944</v>
      </c>
      <c r="G11" s="11" t="s">
        <v>1945</v>
      </c>
      <c r="H11" s="11" t="s">
        <v>60</v>
      </c>
      <c r="I11" s="13"/>
      <c r="J11" s="14"/>
    </row>
    <row r="12" customFormat="false" ht="15" hidden="false" customHeight="true" outlineLevel="0" collapsed="false">
      <c r="A12" s="11" t="s">
        <v>297</v>
      </c>
      <c r="B12" s="11" t="s">
        <v>298</v>
      </c>
      <c r="C12" s="11" t="s">
        <v>299</v>
      </c>
      <c r="D12" s="11" t="s">
        <v>300</v>
      </c>
      <c r="E12" s="11" t="s">
        <v>749</v>
      </c>
      <c r="F12" s="11" t="s">
        <v>1946</v>
      </c>
      <c r="G12" s="11"/>
      <c r="H12" s="11" t="s">
        <v>60</v>
      </c>
      <c r="I12" s="13"/>
      <c r="J12" s="14"/>
    </row>
    <row r="13" customFormat="false" ht="23.25" hidden="false" customHeight="true" outlineLevel="0" collapsed="false">
      <c r="A13" s="11" t="s">
        <v>302</v>
      </c>
      <c r="B13" s="11" t="s">
        <v>298</v>
      </c>
      <c r="C13" s="11" t="s">
        <v>1947</v>
      </c>
      <c r="D13" s="11" t="s">
        <v>304</v>
      </c>
      <c r="E13" s="11" t="s">
        <v>749</v>
      </c>
      <c r="F13" s="11" t="s">
        <v>1948</v>
      </c>
      <c r="G13" s="11" t="s">
        <v>1949</v>
      </c>
      <c r="H13" s="11" t="s">
        <v>60</v>
      </c>
      <c r="I13" s="13"/>
      <c r="J13" s="14"/>
    </row>
    <row r="14" customFormat="false" ht="15" hidden="false" customHeight="true" outlineLevel="0" collapsed="false">
      <c r="A14" s="11" t="s">
        <v>314</v>
      </c>
      <c r="B14" s="11" t="s">
        <v>298</v>
      </c>
      <c r="C14" s="11" t="s">
        <v>315</v>
      </c>
      <c r="D14" s="11" t="s">
        <v>316</v>
      </c>
      <c r="E14" s="11" t="s">
        <v>749</v>
      </c>
      <c r="F14" s="11" t="s">
        <v>1950</v>
      </c>
      <c r="G14" s="11" t="s">
        <v>1951</v>
      </c>
      <c r="H14" s="11" t="s">
        <v>60</v>
      </c>
      <c r="I14" s="13"/>
      <c r="J14" s="14"/>
    </row>
    <row r="15" customFormat="false" ht="15" hidden="false" customHeight="true" outlineLevel="0" collapsed="false">
      <c r="A15" s="11" t="s">
        <v>356</v>
      </c>
      <c r="B15" s="11" t="s">
        <v>298</v>
      </c>
      <c r="C15" s="11" t="s">
        <v>357</v>
      </c>
      <c r="D15" s="11" t="s">
        <v>358</v>
      </c>
      <c r="E15" s="11" t="s">
        <v>192</v>
      </c>
      <c r="F15" s="11" t="s">
        <v>1952</v>
      </c>
      <c r="G15" s="11"/>
      <c r="H15" s="11" t="s">
        <v>60</v>
      </c>
      <c r="I15" s="13"/>
      <c r="J15" s="14"/>
    </row>
    <row r="16" customFormat="false" ht="15" hidden="false" customHeight="true" outlineLevel="0" collapsed="false">
      <c r="A16" s="11" t="s">
        <v>341</v>
      </c>
      <c r="B16" s="11" t="s">
        <v>298</v>
      </c>
      <c r="C16" s="11" t="s">
        <v>342</v>
      </c>
      <c r="D16" s="11" t="s">
        <v>343</v>
      </c>
      <c r="E16" s="11" t="s">
        <v>749</v>
      </c>
      <c r="F16" s="11" t="s">
        <v>1953</v>
      </c>
      <c r="G16" s="11"/>
      <c r="H16" s="11" t="s">
        <v>60</v>
      </c>
      <c r="I16" s="13"/>
      <c r="J16" s="14"/>
    </row>
    <row r="17" customFormat="false" ht="15" hidden="false" customHeight="true" outlineLevel="0" collapsed="false">
      <c r="A17" s="13"/>
      <c r="B17" s="13"/>
      <c r="C17" s="13"/>
      <c r="D17" s="13"/>
      <c r="E17" s="13"/>
      <c r="F17" s="13"/>
      <c r="G17" s="13"/>
      <c r="H17" s="13"/>
      <c r="I17" s="13"/>
      <c r="J17" s="14"/>
    </row>
    <row r="18" customFormat="false" ht="15" hidden="false" customHeight="true" outlineLevel="0" collapsed="false">
      <c r="A18" s="13"/>
      <c r="B18" s="13"/>
      <c r="C18" s="13"/>
      <c r="D18" s="13"/>
      <c r="E18" s="13"/>
      <c r="F18" s="13"/>
      <c r="G18" s="13"/>
      <c r="H18" s="13"/>
      <c r="I18" s="13"/>
      <c r="J18" s="14"/>
    </row>
    <row r="19" customFormat="false" ht="15" hidden="false" customHeight="true" outlineLevel="0" collapsed="false">
      <c r="A19" s="13"/>
      <c r="B19" s="13"/>
      <c r="C19" s="13"/>
      <c r="D19" s="13"/>
      <c r="E19" s="13"/>
      <c r="F19" s="13"/>
      <c r="G19" s="13"/>
      <c r="H19" s="13"/>
      <c r="I19" s="13"/>
      <c r="J19" s="14"/>
    </row>
    <row r="20" customFormat="false" ht="15" hidden="false" customHeight="true" outlineLevel="0" collapsed="false">
      <c r="A20" s="13"/>
      <c r="B20" s="13"/>
      <c r="C20" s="13"/>
      <c r="D20" s="13"/>
      <c r="E20" s="13"/>
      <c r="F20" s="13"/>
      <c r="G20" s="13"/>
      <c r="H20" s="13"/>
      <c r="I20" s="13"/>
      <c r="J20" s="14"/>
    </row>
    <row r="21" customFormat="false" ht="15" hidden="false" customHeight="true" outlineLevel="0" collapsed="false">
      <c r="A21" s="13"/>
      <c r="B21" s="13"/>
      <c r="C21" s="13"/>
      <c r="D21" s="13"/>
      <c r="E21" s="13"/>
      <c r="F21" s="13"/>
      <c r="G21" s="13"/>
      <c r="H21" s="13"/>
      <c r="I21" s="13"/>
      <c r="J21" s="14"/>
    </row>
    <row r="22" customFormat="false" ht="15" hidden="false" customHeight="true" outlineLevel="0" collapsed="false">
      <c r="A22" s="13"/>
      <c r="B22" s="13"/>
      <c r="C22" s="13"/>
      <c r="D22" s="13"/>
      <c r="E22" s="13"/>
      <c r="F22" s="13"/>
      <c r="G22" s="13"/>
      <c r="H22" s="13"/>
      <c r="I22" s="13"/>
      <c r="J22" s="14"/>
    </row>
    <row r="23" customFormat="false" ht="15" hidden="false" customHeight="true" outlineLevel="0" collapsed="false">
      <c r="A23" s="13"/>
      <c r="B23" s="13"/>
      <c r="C23" s="13"/>
      <c r="D23" s="13"/>
      <c r="E23" s="13"/>
      <c r="F23" s="13"/>
      <c r="G23" s="13"/>
      <c r="H23" s="13"/>
      <c r="I23" s="13"/>
      <c r="J23" s="14"/>
    </row>
    <row r="24" customFormat="false" ht="15" hidden="false" customHeight="true" outlineLevel="0" collapsed="false">
      <c r="A24" s="13"/>
      <c r="B24" s="13"/>
      <c r="C24" s="13"/>
      <c r="D24" s="13"/>
      <c r="E24" s="13"/>
      <c r="F24" s="13"/>
      <c r="G24" s="13"/>
      <c r="H24" s="13"/>
      <c r="I24" s="13"/>
      <c r="J24" s="14"/>
    </row>
    <row r="25" customFormat="false" ht="15" hidden="false" customHeight="true" outlineLevel="0" collapsed="false">
      <c r="A25" s="13"/>
      <c r="B25" s="13"/>
      <c r="C25" s="13"/>
      <c r="D25" s="13"/>
      <c r="E25" s="13"/>
      <c r="F25" s="13"/>
      <c r="G25" s="13"/>
      <c r="H25" s="13"/>
      <c r="I25" s="13"/>
      <c r="J25" s="14"/>
    </row>
    <row r="26" customFormat="false" ht="15" hidden="false" customHeight="true" outlineLevel="0" collapsed="false">
      <c r="A26" s="13"/>
      <c r="B26" s="13"/>
      <c r="C26" s="13"/>
      <c r="D26" s="13"/>
      <c r="E26" s="13"/>
      <c r="F26" s="13"/>
      <c r="G26" s="13"/>
      <c r="H26" s="13"/>
      <c r="I26" s="13"/>
      <c r="J26" s="14"/>
    </row>
    <row r="27" customFormat="false" ht="15" hidden="false" customHeight="true" outlineLevel="0" collapsed="false">
      <c r="A27" s="13"/>
      <c r="B27" s="13"/>
      <c r="C27" s="13"/>
      <c r="D27" s="13"/>
      <c r="E27" s="13"/>
      <c r="F27" s="13"/>
      <c r="G27" s="13"/>
      <c r="H27" s="13"/>
      <c r="I27" s="13"/>
      <c r="J27" s="14"/>
    </row>
    <row r="28" customFormat="false" ht="15" hidden="false" customHeight="true" outlineLevel="0" collapsed="false">
      <c r="A28" s="13"/>
      <c r="B28" s="13"/>
      <c r="C28" s="13"/>
      <c r="D28" s="13"/>
      <c r="E28" s="13"/>
      <c r="F28" s="13"/>
      <c r="G28" s="13"/>
      <c r="H28" s="13"/>
      <c r="I28" s="13"/>
      <c r="J28" s="14"/>
    </row>
    <row r="29" customFormat="false" ht="15" hidden="false" customHeight="true" outlineLevel="0" collapsed="false">
      <c r="A29" s="13"/>
      <c r="B29" s="13"/>
      <c r="C29" s="13"/>
      <c r="D29" s="13"/>
      <c r="E29" s="13"/>
      <c r="F29" s="13"/>
      <c r="G29" s="13"/>
      <c r="H29" s="13"/>
      <c r="I29" s="13"/>
      <c r="J29" s="14"/>
    </row>
    <row r="30" customFormat="false" ht="15" hidden="false" customHeight="true" outlineLevel="0" collapsed="false">
      <c r="A30" s="13"/>
      <c r="B30" s="13"/>
      <c r="C30" s="13"/>
      <c r="D30" s="13"/>
      <c r="E30" s="13"/>
      <c r="F30" s="13"/>
      <c r="G30" s="13"/>
      <c r="H30" s="13"/>
      <c r="I30" s="13"/>
      <c r="J30" s="14"/>
    </row>
    <row r="31" customFormat="false" ht="15" hidden="false" customHeight="true" outlineLevel="0" collapsed="false">
      <c r="A31" s="13"/>
      <c r="B31" s="13"/>
      <c r="C31" s="13"/>
      <c r="D31" s="13"/>
      <c r="E31" s="13"/>
      <c r="F31" s="13"/>
      <c r="G31" s="13"/>
      <c r="H31" s="13"/>
      <c r="I31" s="13"/>
      <c r="J31" s="14"/>
    </row>
    <row r="32" customFormat="false" ht="15" hidden="false" customHeight="true" outlineLevel="0" collapsed="false">
      <c r="A32" s="13"/>
      <c r="B32" s="13"/>
      <c r="C32" s="13"/>
      <c r="D32" s="13"/>
      <c r="E32" s="13"/>
      <c r="F32" s="13"/>
      <c r="G32" s="13"/>
      <c r="H32" s="13"/>
      <c r="I32" s="13"/>
      <c r="J32" s="14"/>
    </row>
    <row r="33" customFormat="false" ht="15" hidden="false" customHeight="true" outlineLevel="0" collapsed="false">
      <c r="A33" s="13"/>
      <c r="B33" s="13"/>
      <c r="C33" s="13"/>
      <c r="D33" s="13"/>
      <c r="E33" s="13"/>
      <c r="F33" s="13"/>
      <c r="G33" s="13"/>
      <c r="H33" s="13"/>
      <c r="I33" s="13"/>
      <c r="J33" s="14"/>
    </row>
    <row r="34" customFormat="false" ht="15" hidden="false" customHeight="true" outlineLevel="0" collapsed="false">
      <c r="A34" s="13"/>
      <c r="B34" s="13"/>
      <c r="C34" s="13"/>
      <c r="D34" s="13"/>
      <c r="E34" s="13"/>
      <c r="F34" s="13"/>
      <c r="G34" s="13"/>
      <c r="H34" s="13"/>
      <c r="I34" s="13"/>
      <c r="J34" s="14"/>
    </row>
    <row r="35" customFormat="false" ht="15" hidden="false" customHeight="true" outlineLevel="0" collapsed="false">
      <c r="A35" s="13"/>
      <c r="B35" s="13"/>
      <c r="C35" s="13"/>
      <c r="D35" s="13"/>
      <c r="E35" s="13"/>
      <c r="F35" s="13"/>
      <c r="G35" s="13"/>
      <c r="H35" s="13"/>
      <c r="I35" s="13"/>
      <c r="J35" s="14"/>
    </row>
    <row r="36" customFormat="false" ht="15" hidden="false" customHeight="true" outlineLevel="0" collapsed="false">
      <c r="A36" s="13"/>
      <c r="B36" s="13"/>
      <c r="C36" s="13"/>
      <c r="D36" s="13"/>
      <c r="E36" s="13"/>
      <c r="F36" s="13"/>
      <c r="G36" s="13"/>
      <c r="H36" s="13"/>
      <c r="I36" s="13"/>
      <c r="J36" s="14"/>
    </row>
    <row r="37" customFormat="false" ht="15" hidden="false" customHeight="true" outlineLevel="0" collapsed="false">
      <c r="A37" s="13"/>
      <c r="B37" s="13"/>
      <c r="C37" s="13"/>
      <c r="D37" s="13"/>
      <c r="E37" s="13"/>
      <c r="F37" s="13"/>
      <c r="G37" s="13"/>
      <c r="H37" s="13"/>
      <c r="I37" s="13"/>
      <c r="J37" s="14"/>
    </row>
    <row r="38" customFormat="false" ht="15" hidden="false" customHeight="true" outlineLevel="0" collapsed="false">
      <c r="A38" s="13"/>
      <c r="B38" s="13"/>
      <c r="C38" s="13"/>
      <c r="D38" s="13"/>
      <c r="E38" s="13"/>
      <c r="F38" s="13"/>
      <c r="G38" s="13"/>
      <c r="H38" s="13"/>
      <c r="I38" s="13"/>
      <c r="J38" s="14"/>
    </row>
    <row r="39" customFormat="false" ht="15" hidden="false" customHeight="true" outlineLevel="0" collapsed="false">
      <c r="A39" s="13"/>
      <c r="B39" s="13"/>
      <c r="C39" s="13"/>
      <c r="D39" s="13"/>
      <c r="E39" s="13"/>
      <c r="F39" s="13"/>
      <c r="G39" s="13"/>
      <c r="H39" s="13"/>
      <c r="I39" s="13"/>
      <c r="J39" s="14"/>
    </row>
    <row r="40" customFormat="false" ht="15" hidden="false" customHeight="true" outlineLevel="0" collapsed="false">
      <c r="A40" s="13"/>
      <c r="B40" s="13"/>
      <c r="C40" s="13"/>
      <c r="D40" s="13"/>
      <c r="E40" s="13"/>
      <c r="F40" s="13"/>
      <c r="G40" s="13"/>
      <c r="H40" s="13"/>
      <c r="I40" s="13"/>
      <c r="J40" s="14"/>
    </row>
    <row r="41" customFormat="false" ht="15" hidden="false" customHeight="true" outlineLevel="0" collapsed="false">
      <c r="A41" s="13"/>
      <c r="B41" s="13"/>
      <c r="C41" s="13"/>
      <c r="D41" s="13"/>
      <c r="E41" s="13"/>
      <c r="F41" s="13"/>
      <c r="G41" s="13"/>
      <c r="H41" s="13"/>
      <c r="I41" s="13"/>
      <c r="J41" s="14"/>
    </row>
    <row r="42" customFormat="false" ht="15" hidden="false" customHeight="true" outlineLevel="0" collapsed="false">
      <c r="A42" s="13"/>
      <c r="B42" s="13"/>
      <c r="C42" s="13"/>
      <c r="D42" s="13"/>
      <c r="E42" s="13"/>
      <c r="F42" s="13"/>
      <c r="G42" s="13"/>
      <c r="H42" s="13"/>
      <c r="I42" s="13"/>
      <c r="J42" s="14"/>
    </row>
    <row r="43" customFormat="false" ht="15" hidden="false" customHeight="true" outlineLevel="0" collapsed="false">
      <c r="A43" s="13"/>
      <c r="B43" s="13"/>
      <c r="C43" s="13"/>
      <c r="D43" s="13"/>
      <c r="E43" s="13"/>
      <c r="F43" s="13"/>
      <c r="G43" s="13"/>
      <c r="H43" s="13"/>
      <c r="I43" s="13"/>
      <c r="J43" s="14"/>
    </row>
    <row r="44" customFormat="false" ht="15" hidden="false" customHeight="true" outlineLevel="0" collapsed="false">
      <c r="A44" s="13"/>
      <c r="B44" s="13"/>
      <c r="C44" s="13"/>
      <c r="D44" s="13"/>
      <c r="E44" s="13"/>
      <c r="F44" s="13"/>
      <c r="G44" s="13"/>
      <c r="H44" s="13"/>
      <c r="I44" s="13"/>
      <c r="J44" s="14"/>
    </row>
    <row r="45" customFormat="false" ht="15" hidden="false" customHeight="true" outlineLevel="0" collapsed="false">
      <c r="A45" s="13"/>
      <c r="B45" s="13"/>
      <c r="C45" s="13"/>
      <c r="D45" s="13"/>
      <c r="E45" s="13"/>
      <c r="F45" s="13"/>
      <c r="G45" s="13"/>
      <c r="H45" s="13"/>
      <c r="I45" s="13"/>
      <c r="J45" s="14"/>
    </row>
    <row r="46" customFormat="false" ht="15" hidden="false" customHeight="true" outlineLevel="0" collapsed="false">
      <c r="A46" s="13"/>
      <c r="B46" s="13"/>
      <c r="C46" s="13"/>
      <c r="D46" s="13"/>
      <c r="E46" s="13"/>
      <c r="F46" s="13"/>
      <c r="G46" s="13"/>
      <c r="H46" s="13"/>
      <c r="I46" s="13"/>
      <c r="J46" s="14"/>
    </row>
    <row r="47" customFormat="false" ht="15" hidden="false" customHeight="true" outlineLevel="0" collapsed="false">
      <c r="A47" s="13"/>
      <c r="B47" s="13"/>
      <c r="C47" s="13"/>
      <c r="D47" s="13"/>
      <c r="E47" s="13"/>
      <c r="F47" s="13"/>
      <c r="G47" s="13"/>
      <c r="H47" s="13"/>
      <c r="I47" s="13"/>
      <c r="J47" s="14"/>
    </row>
    <row r="48" customFormat="false" ht="15" hidden="false" customHeight="true" outlineLevel="0" collapsed="false">
      <c r="A48" s="13"/>
      <c r="B48" s="13"/>
      <c r="C48" s="13"/>
      <c r="D48" s="13"/>
      <c r="E48" s="13"/>
      <c r="F48" s="13"/>
      <c r="G48" s="13"/>
      <c r="H48" s="13"/>
      <c r="I48" s="13"/>
      <c r="J48" s="14"/>
    </row>
    <row r="49" customFormat="false" ht="15" hidden="false" customHeight="true" outlineLevel="0" collapsed="false">
      <c r="A49" s="13"/>
      <c r="B49" s="13"/>
      <c r="C49" s="13"/>
      <c r="D49" s="13"/>
      <c r="E49" s="13"/>
      <c r="F49" s="13"/>
      <c r="G49" s="13"/>
      <c r="H49" s="13"/>
      <c r="I49" s="13"/>
      <c r="J49" s="14"/>
    </row>
    <row r="50" customFormat="false" ht="15" hidden="false" customHeight="true" outlineLevel="0" collapsed="false">
      <c r="A50" s="13"/>
      <c r="B50" s="13"/>
      <c r="C50" s="13"/>
      <c r="D50" s="13"/>
      <c r="E50" s="13"/>
      <c r="F50" s="13"/>
      <c r="G50" s="13"/>
      <c r="H50" s="13"/>
      <c r="I50" s="13"/>
      <c r="J50" s="14"/>
    </row>
    <row r="51" customFormat="false" ht="15" hidden="false" customHeight="true" outlineLevel="0" collapsed="false">
      <c r="A51" s="13"/>
      <c r="B51" s="13"/>
      <c r="C51" s="13"/>
      <c r="D51" s="13"/>
      <c r="E51" s="13"/>
      <c r="F51" s="13"/>
      <c r="G51" s="13"/>
      <c r="H51" s="13"/>
      <c r="I51" s="13"/>
      <c r="J51" s="14"/>
    </row>
    <row r="52" customFormat="false" ht="15" hidden="false" customHeight="true" outlineLevel="0" collapsed="false">
      <c r="A52" s="13"/>
      <c r="B52" s="13"/>
      <c r="C52" s="13"/>
      <c r="D52" s="13"/>
      <c r="E52" s="13"/>
      <c r="F52" s="13"/>
      <c r="G52" s="13"/>
      <c r="H52" s="13"/>
      <c r="I52" s="13"/>
      <c r="J52" s="14"/>
    </row>
    <row r="53" customFormat="false" ht="15" hidden="false" customHeight="true" outlineLevel="0" collapsed="false">
      <c r="A53" s="13"/>
      <c r="B53" s="13"/>
      <c r="C53" s="13"/>
      <c r="D53" s="13"/>
      <c r="E53" s="13"/>
      <c r="F53" s="13"/>
      <c r="G53" s="13"/>
      <c r="H53" s="13"/>
      <c r="I53" s="13"/>
      <c r="J53" s="14"/>
    </row>
    <row r="54" customFormat="false" ht="15" hidden="false" customHeight="true" outlineLevel="0" collapsed="false">
      <c r="A54" s="13"/>
      <c r="B54" s="13"/>
      <c r="C54" s="13"/>
      <c r="D54" s="13"/>
      <c r="E54" s="13"/>
      <c r="F54" s="13"/>
      <c r="G54" s="13"/>
      <c r="H54" s="13"/>
      <c r="I54" s="13"/>
      <c r="J54" s="14"/>
    </row>
    <row r="55" customFormat="false" ht="15" hidden="false" customHeight="true" outlineLevel="0" collapsed="false">
      <c r="A55" s="13"/>
      <c r="B55" s="13"/>
      <c r="C55" s="13"/>
      <c r="D55" s="13"/>
      <c r="E55" s="13"/>
      <c r="F55" s="13"/>
      <c r="G55" s="13"/>
      <c r="H55" s="13"/>
      <c r="I55" s="13"/>
      <c r="J55" s="14"/>
    </row>
    <row r="56" customFormat="false" ht="15" hidden="false" customHeight="true" outlineLevel="0" collapsed="false">
      <c r="A56" s="13"/>
      <c r="B56" s="13"/>
      <c r="C56" s="13"/>
      <c r="D56" s="13"/>
      <c r="E56" s="13"/>
      <c r="F56" s="13"/>
      <c r="G56" s="13"/>
      <c r="H56" s="13"/>
      <c r="I56" s="13"/>
      <c r="J56" s="14"/>
    </row>
    <row r="57" customFormat="false" ht="15" hidden="false" customHeight="true" outlineLevel="0" collapsed="false">
      <c r="A57" s="13"/>
      <c r="B57" s="13"/>
      <c r="C57" s="13"/>
      <c r="D57" s="13"/>
      <c r="E57" s="13"/>
      <c r="F57" s="13"/>
      <c r="G57" s="13"/>
      <c r="H57" s="13"/>
      <c r="I57" s="13"/>
      <c r="J57" s="14"/>
    </row>
    <row r="58" customFormat="false" ht="15" hidden="false" customHeight="true" outlineLevel="0" collapsed="false">
      <c r="A58" s="13"/>
      <c r="B58" s="13"/>
      <c r="C58" s="13"/>
      <c r="D58" s="13"/>
      <c r="E58" s="13"/>
      <c r="F58" s="13"/>
      <c r="G58" s="13"/>
      <c r="H58" s="13"/>
      <c r="I58" s="13"/>
      <c r="J58" s="14"/>
    </row>
    <row r="59" customFormat="false" ht="15" hidden="false" customHeight="true" outlineLevel="0" collapsed="false">
      <c r="A59" s="13"/>
      <c r="B59" s="13"/>
      <c r="C59" s="13"/>
      <c r="D59" s="13"/>
      <c r="E59" s="13"/>
      <c r="F59" s="13"/>
      <c r="G59" s="13"/>
      <c r="H59" s="13"/>
      <c r="I59" s="13"/>
      <c r="J59" s="14"/>
    </row>
    <row r="60" customFormat="false" ht="15" hidden="false" customHeight="true" outlineLevel="0" collapsed="false">
      <c r="A60" s="13"/>
      <c r="B60" s="13"/>
      <c r="C60" s="13"/>
      <c r="D60" s="13"/>
      <c r="E60" s="13"/>
      <c r="F60" s="13"/>
      <c r="G60" s="13"/>
      <c r="H60" s="13"/>
      <c r="I60" s="13"/>
      <c r="J60" s="14"/>
    </row>
    <row r="61" customFormat="false" ht="15" hidden="false" customHeight="true" outlineLevel="0" collapsed="false">
      <c r="A61" s="13"/>
      <c r="B61" s="13"/>
      <c r="C61" s="13"/>
      <c r="D61" s="13"/>
      <c r="E61" s="13"/>
      <c r="F61" s="13"/>
      <c r="G61" s="13"/>
      <c r="H61" s="13"/>
      <c r="I61" s="13"/>
      <c r="J61" s="14"/>
    </row>
    <row r="62" customFormat="false" ht="15" hidden="false" customHeight="true" outlineLevel="0" collapsed="false">
      <c r="A62" s="13"/>
      <c r="B62" s="13"/>
      <c r="C62" s="13"/>
      <c r="D62" s="13"/>
      <c r="E62" s="13"/>
      <c r="F62" s="13"/>
      <c r="G62" s="13"/>
      <c r="H62" s="13"/>
      <c r="I62" s="13"/>
      <c r="J62" s="14"/>
    </row>
    <row r="63" customFormat="false" ht="15" hidden="false" customHeight="true" outlineLevel="0" collapsed="false">
      <c r="A63" s="13"/>
      <c r="B63" s="13"/>
      <c r="C63" s="13"/>
      <c r="D63" s="13"/>
      <c r="E63" s="13"/>
      <c r="F63" s="13"/>
      <c r="G63" s="13"/>
      <c r="H63" s="13"/>
      <c r="I63" s="13"/>
      <c r="J63" s="14"/>
    </row>
    <row r="64" customFormat="false" ht="15" hidden="false" customHeight="true" outlineLevel="0" collapsed="false">
      <c r="A64" s="13"/>
      <c r="B64" s="13"/>
      <c r="C64" s="13"/>
      <c r="D64" s="13"/>
      <c r="E64" s="13"/>
      <c r="F64" s="13"/>
      <c r="G64" s="13"/>
      <c r="H64" s="13"/>
      <c r="I64" s="13"/>
      <c r="J64" s="14"/>
    </row>
    <row r="65" customFormat="false" ht="15" hidden="false" customHeight="true" outlineLevel="0" collapsed="false">
      <c r="A65" s="13"/>
      <c r="B65" s="13"/>
      <c r="C65" s="13"/>
      <c r="D65" s="13"/>
      <c r="E65" s="13"/>
      <c r="F65" s="13"/>
      <c r="G65" s="13"/>
      <c r="H65" s="13"/>
      <c r="I65" s="13"/>
      <c r="J65" s="14"/>
    </row>
    <row r="66" customFormat="false" ht="15" hidden="false" customHeight="true" outlineLevel="0" collapsed="false">
      <c r="A66" s="13"/>
      <c r="B66" s="13"/>
      <c r="C66" s="13"/>
      <c r="D66" s="13"/>
      <c r="E66" s="13"/>
      <c r="F66" s="13"/>
      <c r="G66" s="13"/>
      <c r="H66" s="13"/>
      <c r="I66" s="13"/>
      <c r="J66" s="14"/>
    </row>
    <row r="67" customFormat="false" ht="15" hidden="false" customHeight="true" outlineLevel="0" collapsed="false">
      <c r="A67" s="13"/>
      <c r="B67" s="13"/>
      <c r="C67" s="13"/>
      <c r="D67" s="13"/>
      <c r="E67" s="13"/>
      <c r="F67" s="13"/>
      <c r="G67" s="13"/>
      <c r="H67" s="13"/>
      <c r="I67" s="13"/>
      <c r="J67" s="14"/>
    </row>
    <row r="68" customFormat="false" ht="15" hidden="false" customHeight="true" outlineLevel="0" collapsed="false">
      <c r="A68" s="13"/>
      <c r="B68" s="13"/>
      <c r="C68" s="13"/>
      <c r="D68" s="13"/>
      <c r="E68" s="13"/>
      <c r="F68" s="13"/>
      <c r="G68" s="13"/>
      <c r="H68" s="13"/>
      <c r="I68" s="13"/>
      <c r="J68" s="14"/>
    </row>
    <row r="69" customFormat="false" ht="15" hidden="false" customHeight="true" outlineLevel="0" collapsed="false">
      <c r="A69" s="13"/>
      <c r="B69" s="13"/>
      <c r="C69" s="13"/>
      <c r="D69" s="13"/>
      <c r="E69" s="13"/>
      <c r="F69" s="13"/>
      <c r="G69" s="13"/>
      <c r="H69" s="13"/>
      <c r="I69" s="13"/>
      <c r="J69" s="14"/>
    </row>
    <row r="70" customFormat="false" ht="15" hidden="false" customHeight="true" outlineLevel="0" collapsed="false">
      <c r="A70" s="13"/>
      <c r="B70" s="13"/>
      <c r="C70" s="13"/>
      <c r="D70" s="13"/>
      <c r="E70" s="13"/>
      <c r="F70" s="13"/>
      <c r="G70" s="13"/>
      <c r="H70" s="13"/>
      <c r="I70" s="13"/>
      <c r="J70" s="14"/>
    </row>
    <row r="71" customFormat="false" ht="15" hidden="false" customHeight="true" outlineLevel="0" collapsed="false">
      <c r="A71" s="13"/>
      <c r="B71" s="13"/>
      <c r="C71" s="13"/>
      <c r="D71" s="13"/>
      <c r="E71" s="13"/>
      <c r="F71" s="13"/>
      <c r="G71" s="13"/>
      <c r="H71" s="13"/>
      <c r="I71" s="13"/>
      <c r="J71" s="14"/>
    </row>
    <row r="72" customFormat="false" ht="15" hidden="false" customHeight="true" outlineLevel="0" collapsed="false">
      <c r="A72" s="13"/>
      <c r="B72" s="13"/>
      <c r="C72" s="13"/>
      <c r="D72" s="13"/>
      <c r="E72" s="13"/>
      <c r="F72" s="13"/>
      <c r="G72" s="13"/>
      <c r="H72" s="13"/>
      <c r="I72" s="13"/>
      <c r="J72" s="14"/>
    </row>
    <row r="73" customFormat="false" ht="15" hidden="false" customHeight="true" outlineLevel="0" collapsed="false">
      <c r="A73" s="13"/>
      <c r="B73" s="13"/>
      <c r="C73" s="13"/>
      <c r="D73" s="13"/>
      <c r="E73" s="13"/>
      <c r="F73" s="13"/>
      <c r="G73" s="13"/>
      <c r="H73" s="13"/>
      <c r="I73" s="13"/>
      <c r="J73" s="14"/>
    </row>
    <row r="74" customFormat="false" ht="15" hidden="false" customHeight="true" outlineLevel="0" collapsed="false">
      <c r="A74" s="13"/>
      <c r="B74" s="13"/>
      <c r="C74" s="13"/>
      <c r="D74" s="13"/>
      <c r="E74" s="13"/>
      <c r="F74" s="13"/>
      <c r="G74" s="13"/>
      <c r="H74" s="13"/>
      <c r="I74" s="13"/>
      <c r="J74" s="14"/>
    </row>
    <row r="75" customFormat="false" ht="15" hidden="false" customHeight="true" outlineLevel="0" collapsed="false">
      <c r="A75" s="13"/>
      <c r="B75" s="13"/>
      <c r="C75" s="13"/>
      <c r="D75" s="13"/>
      <c r="E75" s="13"/>
      <c r="F75" s="13"/>
      <c r="G75" s="13"/>
      <c r="H75" s="13"/>
      <c r="I75" s="13"/>
      <c r="J75" s="14"/>
    </row>
    <row r="76" customFormat="false" ht="15" hidden="false" customHeight="true" outlineLevel="0" collapsed="false">
      <c r="A76" s="13"/>
      <c r="B76" s="13"/>
      <c r="C76" s="13"/>
      <c r="D76" s="13"/>
      <c r="E76" s="13"/>
      <c r="F76" s="13"/>
      <c r="G76" s="13"/>
      <c r="H76" s="13"/>
      <c r="I76" s="13"/>
      <c r="J76" s="14"/>
    </row>
    <row r="77" customFormat="false" ht="15" hidden="false" customHeight="true" outlineLevel="0" collapsed="false">
      <c r="A77" s="13"/>
      <c r="B77" s="13"/>
      <c r="C77" s="13"/>
      <c r="D77" s="13"/>
      <c r="E77" s="13"/>
      <c r="F77" s="13"/>
      <c r="G77" s="13"/>
      <c r="H77" s="13"/>
      <c r="I77" s="13"/>
      <c r="J77" s="14"/>
    </row>
    <row r="78" customFormat="false" ht="15" hidden="false" customHeight="true" outlineLevel="0" collapsed="false">
      <c r="A78" s="13"/>
      <c r="B78" s="13"/>
      <c r="C78" s="13"/>
      <c r="D78" s="13"/>
      <c r="E78" s="13"/>
      <c r="F78" s="13"/>
      <c r="G78" s="13"/>
      <c r="H78" s="13"/>
      <c r="I78" s="13"/>
      <c r="J78" s="14"/>
    </row>
    <row r="79" customFormat="false" ht="15" hidden="false" customHeight="true" outlineLevel="0" collapsed="false">
      <c r="A79" s="13"/>
      <c r="B79" s="13"/>
      <c r="C79" s="13"/>
      <c r="D79" s="13"/>
      <c r="E79" s="13"/>
      <c r="F79" s="13"/>
      <c r="G79" s="13"/>
      <c r="H79" s="13"/>
      <c r="I79" s="13"/>
      <c r="J79" s="14"/>
    </row>
    <row r="80" customFormat="false" ht="15" hidden="false" customHeight="true" outlineLevel="0" collapsed="false">
      <c r="A80" s="13"/>
      <c r="B80" s="13"/>
      <c r="C80" s="13"/>
      <c r="D80" s="13"/>
      <c r="E80" s="13"/>
      <c r="F80" s="13"/>
      <c r="G80" s="13"/>
      <c r="H80" s="13"/>
      <c r="I80" s="13"/>
      <c r="J80" s="14"/>
    </row>
    <row r="81" customFormat="false" ht="15" hidden="false" customHeight="true" outlineLevel="0" collapsed="false">
      <c r="A81" s="13"/>
      <c r="B81" s="13"/>
      <c r="C81" s="13"/>
      <c r="D81" s="13"/>
      <c r="E81" s="13"/>
      <c r="F81" s="13"/>
      <c r="G81" s="13"/>
      <c r="H81" s="13"/>
      <c r="I81" s="13"/>
      <c r="J81" s="14"/>
    </row>
    <row r="82" customFormat="false" ht="15" hidden="false" customHeight="true" outlineLevel="0" collapsed="false">
      <c r="A82" s="13"/>
      <c r="B82" s="13"/>
      <c r="C82" s="13"/>
      <c r="D82" s="13"/>
      <c r="E82" s="13"/>
      <c r="F82" s="13"/>
      <c r="G82" s="13"/>
      <c r="H82" s="13"/>
      <c r="I82" s="13"/>
      <c r="J82" s="14"/>
    </row>
    <row r="83" customFormat="false" ht="15" hidden="false" customHeight="true" outlineLevel="0" collapsed="false">
      <c r="A83" s="13"/>
      <c r="B83" s="13"/>
      <c r="C83" s="13"/>
      <c r="D83" s="13"/>
      <c r="E83" s="13"/>
      <c r="F83" s="13"/>
      <c r="G83" s="13"/>
      <c r="H83" s="13"/>
      <c r="I83" s="13"/>
      <c r="J83" s="14"/>
    </row>
    <row r="84" customFormat="false" ht="15" hidden="false" customHeight="true" outlineLevel="0" collapsed="false">
      <c r="A84" s="13"/>
      <c r="B84" s="13"/>
      <c r="C84" s="13"/>
      <c r="D84" s="13"/>
      <c r="E84" s="13"/>
      <c r="F84" s="13"/>
      <c r="G84" s="13"/>
      <c r="H84" s="13"/>
      <c r="I84" s="13"/>
      <c r="J84" s="14"/>
    </row>
    <row r="85" customFormat="false" ht="15" hidden="false" customHeight="true" outlineLevel="0" collapsed="false">
      <c r="A85" s="13"/>
      <c r="B85" s="13"/>
      <c r="C85" s="13"/>
      <c r="D85" s="13"/>
      <c r="E85" s="13"/>
      <c r="F85" s="13"/>
      <c r="G85" s="13"/>
      <c r="H85" s="13"/>
      <c r="I85" s="13"/>
      <c r="J85" s="14"/>
    </row>
    <row r="86" customFormat="false" ht="15" hidden="false" customHeight="true" outlineLevel="0" collapsed="false">
      <c r="A86" s="13"/>
      <c r="B86" s="13"/>
      <c r="C86" s="13"/>
      <c r="D86" s="13"/>
      <c r="E86" s="13"/>
      <c r="F86" s="13"/>
      <c r="G86" s="13"/>
      <c r="H86" s="13"/>
      <c r="I86" s="13"/>
      <c r="J86" s="14"/>
    </row>
    <row r="87" customFormat="false" ht="15" hidden="false" customHeight="true" outlineLevel="0" collapsed="false">
      <c r="A87" s="13"/>
      <c r="B87" s="13"/>
      <c r="C87" s="13"/>
      <c r="D87" s="13"/>
      <c r="E87" s="13"/>
      <c r="F87" s="13"/>
      <c r="G87" s="13"/>
      <c r="H87" s="13"/>
      <c r="I87" s="13"/>
      <c r="J87" s="14"/>
    </row>
    <row r="88" customFormat="false" ht="15" hidden="false" customHeight="true" outlineLevel="0" collapsed="false">
      <c r="A88" s="13"/>
      <c r="B88" s="13"/>
      <c r="C88" s="13"/>
      <c r="D88" s="13"/>
      <c r="E88" s="13"/>
      <c r="F88" s="13"/>
      <c r="G88" s="13"/>
      <c r="H88" s="13"/>
      <c r="I88" s="13"/>
      <c r="J88" s="14"/>
    </row>
    <row r="89" customFormat="false" ht="15" hidden="false" customHeight="true" outlineLevel="0" collapsed="false">
      <c r="A89" s="13"/>
      <c r="B89" s="13"/>
      <c r="C89" s="13"/>
      <c r="D89" s="13"/>
      <c r="E89" s="13"/>
      <c r="F89" s="13"/>
      <c r="G89" s="13"/>
      <c r="H89" s="13"/>
      <c r="I89" s="13"/>
      <c r="J89" s="14"/>
    </row>
    <row r="90" customFormat="false" ht="15" hidden="false" customHeight="true" outlineLevel="0" collapsed="false">
      <c r="A90" s="13"/>
      <c r="B90" s="13"/>
      <c r="C90" s="13"/>
      <c r="D90" s="13"/>
      <c r="E90" s="13"/>
      <c r="F90" s="13"/>
      <c r="G90" s="13"/>
      <c r="H90" s="13"/>
      <c r="I90" s="13"/>
      <c r="J90" s="14"/>
    </row>
    <row r="91" customFormat="false" ht="15" hidden="false" customHeight="true" outlineLevel="0" collapsed="false">
      <c r="A91" s="13"/>
      <c r="B91" s="13"/>
      <c r="C91" s="13"/>
      <c r="D91" s="13"/>
      <c r="E91" s="13"/>
      <c r="F91" s="13"/>
      <c r="G91" s="13"/>
      <c r="H91" s="13"/>
      <c r="I91" s="13"/>
      <c r="J91" s="14"/>
    </row>
    <row r="92" customFormat="false" ht="15" hidden="false" customHeight="true" outlineLevel="0" collapsed="false">
      <c r="A92" s="13"/>
      <c r="B92" s="13"/>
      <c r="C92" s="13"/>
      <c r="D92" s="13"/>
      <c r="E92" s="13"/>
      <c r="F92" s="13"/>
      <c r="G92" s="13"/>
      <c r="H92" s="13"/>
      <c r="I92" s="13"/>
      <c r="J92" s="14"/>
    </row>
    <row r="93" customFormat="false" ht="15" hidden="false" customHeight="true" outlineLevel="0" collapsed="false">
      <c r="A93" s="13"/>
      <c r="B93" s="13"/>
      <c r="C93" s="13"/>
      <c r="D93" s="13"/>
      <c r="E93" s="13"/>
      <c r="F93" s="13"/>
      <c r="G93" s="13"/>
      <c r="H93" s="13"/>
      <c r="I93" s="13"/>
      <c r="J93" s="14"/>
    </row>
    <row r="94" customFormat="false" ht="15" hidden="false" customHeight="true" outlineLevel="0" collapsed="false">
      <c r="A94" s="13"/>
      <c r="B94" s="13"/>
      <c r="C94" s="13"/>
      <c r="D94" s="13"/>
      <c r="E94" s="13"/>
      <c r="F94" s="13"/>
      <c r="G94" s="13"/>
      <c r="H94" s="13"/>
      <c r="I94" s="13"/>
      <c r="J94" s="14"/>
    </row>
    <row r="95" customFormat="false" ht="15" hidden="false" customHeight="true" outlineLevel="0" collapsed="false">
      <c r="A95" s="13"/>
      <c r="B95" s="13"/>
      <c r="C95" s="13"/>
      <c r="D95" s="13"/>
      <c r="E95" s="13"/>
      <c r="F95" s="13"/>
      <c r="G95" s="13"/>
      <c r="H95" s="13"/>
      <c r="I95" s="13"/>
      <c r="J95" s="14"/>
    </row>
    <row r="96" customFormat="false" ht="15" hidden="false" customHeight="true" outlineLevel="0" collapsed="false">
      <c r="A96" s="13"/>
      <c r="B96" s="13"/>
      <c r="C96" s="13"/>
      <c r="D96" s="13"/>
      <c r="E96" s="13"/>
      <c r="F96" s="13"/>
      <c r="G96" s="13"/>
      <c r="H96" s="13"/>
      <c r="I96" s="13"/>
      <c r="J96" s="14"/>
    </row>
    <row r="97" customFormat="false" ht="15" hidden="false" customHeight="true" outlineLevel="0" collapsed="false">
      <c r="A97" s="13"/>
      <c r="B97" s="13"/>
      <c r="C97" s="13"/>
      <c r="D97" s="13"/>
      <c r="E97" s="13"/>
      <c r="F97" s="13"/>
      <c r="G97" s="13"/>
      <c r="H97" s="13"/>
      <c r="I97" s="13"/>
      <c r="J97" s="14"/>
    </row>
    <row r="98" customFormat="false" ht="15" hidden="false" customHeight="true" outlineLevel="0" collapsed="false">
      <c r="A98" s="13"/>
      <c r="B98" s="13"/>
      <c r="C98" s="13"/>
      <c r="D98" s="13"/>
      <c r="E98" s="13"/>
      <c r="F98" s="13"/>
      <c r="G98" s="13"/>
      <c r="H98" s="13"/>
      <c r="I98" s="13"/>
      <c r="J98" s="14"/>
    </row>
    <row r="99" customFormat="false" ht="15" hidden="false" customHeight="true" outlineLevel="0" collapsed="false">
      <c r="A99" s="13"/>
      <c r="B99" s="13"/>
      <c r="C99" s="13"/>
      <c r="D99" s="13"/>
      <c r="E99" s="13"/>
      <c r="F99" s="13"/>
      <c r="G99" s="13"/>
      <c r="H99" s="13"/>
      <c r="I99" s="13"/>
      <c r="J99" s="14"/>
    </row>
    <row r="100" customFormat="false" ht="15" hidden="false" customHeight="true" outlineLevel="0" collapsed="false">
      <c r="A100" s="13"/>
      <c r="B100" s="13"/>
      <c r="C100" s="13"/>
      <c r="D100" s="13"/>
      <c r="E100" s="13"/>
      <c r="F100" s="13"/>
      <c r="G100" s="13"/>
      <c r="H100" s="13"/>
      <c r="I100" s="13"/>
      <c r="J100" s="14"/>
    </row>
    <row r="101" customFormat="false" ht="15" hidden="false" customHeight="true" outlineLevel="0" collapsed="false">
      <c r="A101" s="13"/>
      <c r="B101" s="13"/>
      <c r="C101" s="13"/>
      <c r="D101" s="13"/>
      <c r="E101" s="13"/>
      <c r="F101" s="13"/>
      <c r="G101" s="13"/>
      <c r="H101" s="13"/>
      <c r="I101" s="13"/>
      <c r="J101" s="14"/>
    </row>
    <row r="102" customFormat="false" ht="15" hidden="false" customHeight="true" outlineLevel="0" collapsed="false">
      <c r="A102" s="13"/>
      <c r="B102" s="13"/>
      <c r="C102" s="13"/>
      <c r="D102" s="13"/>
      <c r="E102" s="13"/>
      <c r="F102" s="13"/>
      <c r="G102" s="13"/>
      <c r="H102" s="13"/>
      <c r="I102" s="13"/>
      <c r="J102" s="14"/>
    </row>
    <row r="103" customFormat="false" ht="15" hidden="false" customHeight="true" outlineLevel="0" collapsed="false">
      <c r="A103" s="13"/>
      <c r="B103" s="13"/>
      <c r="C103" s="13"/>
      <c r="D103" s="13"/>
      <c r="E103" s="13"/>
      <c r="F103" s="13"/>
      <c r="G103" s="13"/>
      <c r="H103" s="13"/>
      <c r="I103" s="13"/>
      <c r="J103" s="14"/>
    </row>
    <row r="104" customFormat="false" ht="15" hidden="false" customHeight="true" outlineLevel="0" collapsed="false">
      <c r="A104" s="13"/>
      <c r="B104" s="13"/>
      <c r="C104" s="13"/>
      <c r="D104" s="13"/>
      <c r="E104" s="13"/>
      <c r="F104" s="13"/>
      <c r="G104" s="13"/>
      <c r="H104" s="13"/>
      <c r="I104" s="13"/>
      <c r="J104" s="14"/>
    </row>
    <row r="105" customFormat="false" ht="15" hidden="false" customHeight="true" outlineLevel="0" collapsed="false">
      <c r="A105" s="13"/>
      <c r="B105" s="13"/>
      <c r="C105" s="13"/>
      <c r="D105" s="13"/>
      <c r="E105" s="13"/>
      <c r="F105" s="13"/>
      <c r="G105" s="13"/>
      <c r="H105" s="13"/>
      <c r="I105" s="13"/>
      <c r="J105" s="14"/>
    </row>
    <row r="106" customFormat="false" ht="15" hidden="false" customHeight="true" outlineLevel="0" collapsed="false">
      <c r="A106" s="13"/>
      <c r="B106" s="13"/>
      <c r="C106" s="13"/>
      <c r="D106" s="13"/>
      <c r="E106" s="13"/>
      <c r="F106" s="13"/>
      <c r="G106" s="13"/>
      <c r="H106" s="13"/>
      <c r="I106" s="13"/>
      <c r="J106" s="14"/>
    </row>
    <row r="107" customFormat="false" ht="15" hidden="false" customHeight="true" outlineLevel="0" collapsed="false">
      <c r="A107" s="13"/>
      <c r="B107" s="13"/>
      <c r="C107" s="13"/>
      <c r="D107" s="13"/>
      <c r="E107" s="13"/>
      <c r="F107" s="13"/>
      <c r="G107" s="13"/>
      <c r="H107" s="13"/>
      <c r="I107" s="13"/>
      <c r="J107" s="14"/>
    </row>
    <row r="108" customFormat="false" ht="15" hidden="false" customHeight="true" outlineLevel="0" collapsed="false">
      <c r="A108" s="13"/>
      <c r="B108" s="13"/>
      <c r="C108" s="13"/>
      <c r="D108" s="13"/>
      <c r="E108" s="13"/>
      <c r="F108" s="13"/>
      <c r="G108" s="13"/>
      <c r="H108" s="13"/>
      <c r="I108" s="13"/>
      <c r="J108" s="14"/>
    </row>
    <row r="109" customFormat="false" ht="15" hidden="false" customHeight="true" outlineLevel="0" collapsed="false">
      <c r="A109" s="13"/>
      <c r="B109" s="13"/>
      <c r="C109" s="13"/>
      <c r="D109" s="13"/>
      <c r="E109" s="13"/>
      <c r="F109" s="13"/>
      <c r="G109" s="13"/>
      <c r="H109" s="13"/>
      <c r="I109" s="13"/>
      <c r="J109" s="14"/>
    </row>
    <row r="110" customFormat="false" ht="15" hidden="false" customHeight="true" outlineLevel="0" collapsed="false">
      <c r="A110" s="13"/>
      <c r="B110" s="13"/>
      <c r="C110" s="13"/>
      <c r="D110" s="13"/>
      <c r="E110" s="13"/>
      <c r="F110" s="13"/>
      <c r="G110" s="13"/>
      <c r="H110" s="13"/>
      <c r="I110" s="13"/>
      <c r="J110" s="14"/>
    </row>
    <row r="111" customFormat="false" ht="15" hidden="false" customHeight="true" outlineLevel="0" collapsed="false">
      <c r="A111" s="13"/>
      <c r="B111" s="13"/>
      <c r="C111" s="13"/>
      <c r="D111" s="13"/>
      <c r="E111" s="13"/>
      <c r="F111" s="13"/>
      <c r="G111" s="13"/>
      <c r="H111" s="13"/>
      <c r="I111" s="13"/>
      <c r="J111" s="14"/>
    </row>
    <row r="112" customFormat="false" ht="15" hidden="false" customHeight="true" outlineLevel="0" collapsed="false">
      <c r="A112" s="13"/>
      <c r="B112" s="13"/>
      <c r="C112" s="13"/>
      <c r="D112" s="13"/>
      <c r="E112" s="13"/>
      <c r="F112" s="13"/>
      <c r="G112" s="13"/>
      <c r="H112" s="13"/>
      <c r="I112" s="13"/>
      <c r="J112" s="14"/>
    </row>
    <row r="113" customFormat="false" ht="15" hidden="false" customHeight="true" outlineLevel="0" collapsed="false">
      <c r="A113" s="13"/>
      <c r="B113" s="13"/>
      <c r="C113" s="13"/>
      <c r="D113" s="13"/>
      <c r="E113" s="13"/>
      <c r="F113" s="13"/>
      <c r="G113" s="13"/>
      <c r="H113" s="13"/>
      <c r="I113" s="13"/>
      <c r="J113" s="14"/>
    </row>
    <row r="114" customFormat="false" ht="15" hidden="false" customHeight="true" outlineLevel="0" collapsed="false">
      <c r="A114" s="13"/>
      <c r="B114" s="13"/>
      <c r="C114" s="13"/>
      <c r="D114" s="13"/>
      <c r="E114" s="13"/>
      <c r="F114" s="13"/>
      <c r="G114" s="13"/>
      <c r="H114" s="13"/>
      <c r="I114" s="13"/>
      <c r="J114" s="14"/>
    </row>
    <row r="115" customFormat="false" ht="15" hidden="false" customHeight="true" outlineLevel="0" collapsed="false">
      <c r="A115" s="13"/>
      <c r="B115" s="13"/>
      <c r="C115" s="13"/>
      <c r="D115" s="13"/>
      <c r="E115" s="13"/>
      <c r="F115" s="13"/>
      <c r="G115" s="13"/>
      <c r="H115" s="13"/>
      <c r="I115" s="13"/>
      <c r="J115" s="14"/>
    </row>
    <row r="116" customFormat="false" ht="15" hidden="false" customHeight="true" outlineLevel="0" collapsed="false">
      <c r="A116" s="13"/>
      <c r="B116" s="13"/>
      <c r="C116" s="13"/>
      <c r="D116" s="13"/>
      <c r="E116" s="13"/>
      <c r="F116" s="13"/>
      <c r="G116" s="13"/>
      <c r="H116" s="13"/>
      <c r="I116" s="13"/>
      <c r="J116" s="14"/>
    </row>
    <row r="117" customFormat="false" ht="15" hidden="false" customHeight="true" outlineLevel="0" collapsed="false">
      <c r="A117" s="13"/>
      <c r="B117" s="13"/>
      <c r="C117" s="13"/>
      <c r="D117" s="13"/>
      <c r="E117" s="13"/>
      <c r="F117" s="13"/>
      <c r="G117" s="13"/>
      <c r="H117" s="13"/>
      <c r="I117" s="13"/>
      <c r="J117" s="14"/>
    </row>
    <row r="118" customFormat="false" ht="15" hidden="false" customHeight="true" outlineLevel="0" collapsed="false">
      <c r="A118" s="13"/>
      <c r="B118" s="13"/>
      <c r="C118" s="13"/>
      <c r="D118" s="13"/>
      <c r="E118" s="13"/>
      <c r="F118" s="13"/>
      <c r="G118" s="13"/>
      <c r="H118" s="13"/>
      <c r="I118" s="13"/>
      <c r="J118" s="14"/>
    </row>
    <row r="119" customFormat="false" ht="15" hidden="false" customHeight="true" outlineLevel="0" collapsed="false">
      <c r="A119" s="13"/>
      <c r="B119" s="13"/>
      <c r="C119" s="13"/>
      <c r="D119" s="13"/>
      <c r="E119" s="13"/>
      <c r="F119" s="13"/>
      <c r="G119" s="13"/>
      <c r="H119" s="13"/>
      <c r="I119" s="13"/>
      <c r="J119" s="14"/>
    </row>
    <row r="120" customFormat="false" ht="15" hidden="false" customHeight="true" outlineLevel="0" collapsed="false">
      <c r="A120" s="13"/>
      <c r="B120" s="13"/>
      <c r="C120" s="13"/>
      <c r="D120" s="13"/>
      <c r="E120" s="13"/>
      <c r="F120" s="13"/>
      <c r="G120" s="13"/>
      <c r="H120" s="13"/>
      <c r="I120" s="13"/>
      <c r="J120" s="14"/>
    </row>
    <row r="121" customFormat="false" ht="15" hidden="false" customHeight="true" outlineLevel="0" collapsed="false">
      <c r="A121" s="13"/>
      <c r="B121" s="13"/>
      <c r="C121" s="13"/>
      <c r="D121" s="13"/>
      <c r="E121" s="13"/>
      <c r="F121" s="13"/>
      <c r="G121" s="13"/>
      <c r="H121" s="13"/>
      <c r="I121" s="13"/>
      <c r="J121" s="14"/>
    </row>
    <row r="122" customFormat="false" ht="15" hidden="false" customHeight="true" outlineLevel="0" collapsed="false">
      <c r="A122" s="13"/>
      <c r="B122" s="13"/>
      <c r="C122" s="13"/>
      <c r="D122" s="13"/>
      <c r="E122" s="13"/>
      <c r="F122" s="13"/>
      <c r="G122" s="13"/>
      <c r="H122" s="13"/>
      <c r="I122" s="13"/>
      <c r="J122" s="14"/>
    </row>
    <row r="123" customFormat="false" ht="15" hidden="false" customHeight="true" outlineLevel="0" collapsed="false">
      <c r="A123" s="13"/>
      <c r="B123" s="13"/>
      <c r="C123" s="13"/>
      <c r="D123" s="13"/>
      <c r="E123" s="13"/>
      <c r="F123" s="13"/>
      <c r="G123" s="13"/>
      <c r="H123" s="13"/>
      <c r="I123" s="13"/>
      <c r="J123" s="14"/>
    </row>
    <row r="124" customFormat="false" ht="15" hidden="false" customHeight="true" outlineLevel="0" collapsed="false">
      <c r="A124" s="13"/>
      <c r="B124" s="13"/>
      <c r="C124" s="13"/>
      <c r="D124" s="13"/>
      <c r="E124" s="13"/>
      <c r="F124" s="13"/>
      <c r="G124" s="13"/>
      <c r="H124" s="13"/>
      <c r="I124" s="13"/>
      <c r="J124" s="14"/>
    </row>
    <row r="125" customFormat="false" ht="15" hidden="false" customHeight="true" outlineLevel="0" collapsed="false">
      <c r="A125" s="13"/>
      <c r="B125" s="13"/>
      <c r="C125" s="13"/>
      <c r="D125" s="13"/>
      <c r="E125" s="13"/>
      <c r="F125" s="13"/>
      <c r="G125" s="13"/>
      <c r="H125" s="13"/>
      <c r="I125" s="13"/>
      <c r="J125" s="14"/>
    </row>
    <row r="126" customFormat="false" ht="15" hidden="false" customHeight="true" outlineLevel="0" collapsed="false">
      <c r="A126" s="13"/>
      <c r="B126" s="13"/>
      <c r="C126" s="13"/>
      <c r="D126" s="13"/>
      <c r="E126" s="13"/>
      <c r="F126" s="13"/>
      <c r="G126" s="13"/>
      <c r="H126" s="13"/>
      <c r="I126" s="13"/>
      <c r="J126" s="14"/>
    </row>
    <row r="127" customFormat="false" ht="15" hidden="false" customHeight="true" outlineLevel="0" collapsed="false">
      <c r="A127" s="13"/>
      <c r="B127" s="13"/>
      <c r="C127" s="13"/>
      <c r="D127" s="13"/>
      <c r="E127" s="13"/>
      <c r="F127" s="13"/>
      <c r="G127" s="13"/>
      <c r="H127" s="13"/>
      <c r="I127" s="13"/>
      <c r="J127" s="14"/>
    </row>
    <row r="128" customFormat="false" ht="15" hidden="false" customHeight="true" outlineLevel="0" collapsed="false">
      <c r="A128" s="13"/>
      <c r="B128" s="13"/>
      <c r="C128" s="13"/>
      <c r="D128" s="13"/>
      <c r="E128" s="13"/>
      <c r="F128" s="13"/>
      <c r="G128" s="13"/>
      <c r="H128" s="13"/>
      <c r="I128" s="13"/>
      <c r="J128" s="14"/>
    </row>
    <row r="129" customFormat="false" ht="15" hidden="false" customHeight="true" outlineLevel="0" collapsed="false">
      <c r="A129" s="13"/>
      <c r="B129" s="13"/>
      <c r="C129" s="13"/>
      <c r="D129" s="13"/>
      <c r="E129" s="13"/>
      <c r="F129" s="13"/>
      <c r="G129" s="13"/>
      <c r="H129" s="13"/>
      <c r="I129" s="13"/>
      <c r="J129" s="14"/>
    </row>
    <row r="130" customFormat="false" ht="15" hidden="false" customHeight="true" outlineLevel="0" collapsed="false">
      <c r="A130" s="13"/>
      <c r="B130" s="13"/>
      <c r="C130" s="13"/>
      <c r="D130" s="13"/>
      <c r="E130" s="13"/>
      <c r="F130" s="13"/>
      <c r="G130" s="13"/>
      <c r="H130" s="13"/>
      <c r="I130" s="13"/>
      <c r="J130" s="14"/>
    </row>
    <row r="131" customFormat="false" ht="15" hidden="false" customHeight="true" outlineLevel="0" collapsed="false">
      <c r="A131" s="13"/>
      <c r="B131" s="13"/>
      <c r="C131" s="13"/>
      <c r="D131" s="13"/>
      <c r="E131" s="13"/>
      <c r="F131" s="13"/>
      <c r="G131" s="13"/>
      <c r="H131" s="13"/>
      <c r="I131" s="13"/>
      <c r="J131" s="14"/>
    </row>
    <row r="132" customFormat="false" ht="15" hidden="false" customHeight="true" outlineLevel="0" collapsed="false">
      <c r="A132" s="13"/>
      <c r="B132" s="13"/>
      <c r="C132" s="13"/>
      <c r="D132" s="13"/>
      <c r="E132" s="13"/>
      <c r="F132" s="13"/>
      <c r="G132" s="13"/>
      <c r="H132" s="13"/>
      <c r="I132" s="13"/>
      <c r="J132" s="14"/>
    </row>
    <row r="133" customFormat="false" ht="15" hidden="false" customHeight="true" outlineLevel="0" collapsed="false">
      <c r="A133" s="13"/>
      <c r="B133" s="13"/>
      <c r="C133" s="13"/>
      <c r="D133" s="13"/>
      <c r="E133" s="13"/>
      <c r="F133" s="13"/>
      <c r="G133" s="13"/>
      <c r="H133" s="13"/>
      <c r="I133" s="13"/>
      <c r="J133" s="14"/>
    </row>
    <row r="134" customFormat="false" ht="15" hidden="false" customHeight="true" outlineLevel="0" collapsed="false">
      <c r="A134" s="13"/>
      <c r="B134" s="13"/>
      <c r="C134" s="13"/>
      <c r="D134" s="13"/>
      <c r="E134" s="13"/>
      <c r="F134" s="13"/>
      <c r="G134" s="13"/>
      <c r="H134" s="13"/>
      <c r="I134" s="13"/>
      <c r="J134" s="14"/>
    </row>
    <row r="135" customFormat="false" ht="15" hidden="false" customHeight="true" outlineLevel="0" collapsed="false">
      <c r="A135" s="13"/>
      <c r="B135" s="13"/>
      <c r="C135" s="13"/>
      <c r="D135" s="13"/>
      <c r="E135" s="13"/>
      <c r="F135" s="13"/>
      <c r="G135" s="13"/>
      <c r="H135" s="13"/>
      <c r="I135" s="13"/>
      <c r="J135" s="14"/>
    </row>
    <row r="136" customFormat="false" ht="15" hidden="false" customHeight="true" outlineLevel="0" collapsed="false">
      <c r="A136" s="13"/>
      <c r="B136" s="13"/>
      <c r="C136" s="13"/>
      <c r="D136" s="13"/>
      <c r="E136" s="13"/>
      <c r="F136" s="13"/>
      <c r="G136" s="13"/>
      <c r="H136" s="13"/>
      <c r="I136" s="13"/>
      <c r="J136" s="14"/>
    </row>
    <row r="137" customFormat="false" ht="15" hidden="false" customHeight="true" outlineLevel="0" collapsed="false">
      <c r="A137" s="13"/>
      <c r="B137" s="13"/>
      <c r="C137" s="13"/>
      <c r="D137" s="13"/>
      <c r="E137" s="13"/>
      <c r="F137" s="13"/>
      <c r="G137" s="13"/>
      <c r="H137" s="13"/>
      <c r="I137" s="13"/>
      <c r="J137" s="14"/>
    </row>
    <row r="138" customFormat="false" ht="15" hidden="false" customHeight="true" outlineLevel="0" collapsed="false">
      <c r="A138" s="13"/>
      <c r="B138" s="13"/>
      <c r="C138" s="13"/>
      <c r="D138" s="13"/>
      <c r="E138" s="13"/>
      <c r="F138" s="13"/>
      <c r="G138" s="13"/>
      <c r="H138" s="13"/>
      <c r="I138" s="13"/>
      <c r="J138" s="14"/>
    </row>
    <row r="139" customFormat="false" ht="15" hidden="false" customHeight="true" outlineLevel="0" collapsed="false">
      <c r="A139" s="13"/>
      <c r="B139" s="13"/>
      <c r="C139" s="13"/>
      <c r="D139" s="13"/>
      <c r="E139" s="13"/>
      <c r="F139" s="13"/>
      <c r="G139" s="13"/>
      <c r="H139" s="13"/>
      <c r="I139" s="13"/>
      <c r="J139" s="14"/>
    </row>
    <row r="140" customFormat="false" ht="15" hidden="false" customHeight="true" outlineLevel="0" collapsed="false">
      <c r="A140" s="13"/>
      <c r="B140" s="13"/>
      <c r="C140" s="13"/>
      <c r="D140" s="13"/>
      <c r="E140" s="13"/>
      <c r="F140" s="13"/>
      <c r="G140" s="13"/>
      <c r="H140" s="13"/>
      <c r="I140" s="13"/>
      <c r="J140" s="14"/>
    </row>
    <row r="141" customFormat="false" ht="15" hidden="false" customHeight="true" outlineLevel="0" collapsed="false">
      <c r="A141" s="13"/>
      <c r="B141" s="13"/>
      <c r="C141" s="13"/>
      <c r="D141" s="13"/>
      <c r="E141" s="13"/>
      <c r="F141" s="13"/>
      <c r="G141" s="13"/>
      <c r="H141" s="13"/>
      <c r="I141" s="13"/>
      <c r="J141" s="14"/>
    </row>
    <row r="142" customFormat="false" ht="15" hidden="false" customHeight="true" outlineLevel="0" collapsed="false">
      <c r="A142" s="13"/>
      <c r="B142" s="13"/>
      <c r="C142" s="13"/>
      <c r="D142" s="13"/>
      <c r="E142" s="13"/>
      <c r="F142" s="13"/>
      <c r="G142" s="13"/>
      <c r="H142" s="13"/>
      <c r="I142" s="13"/>
      <c r="J142" s="14"/>
    </row>
    <row r="143" customFormat="false" ht="15" hidden="false" customHeight="true" outlineLevel="0" collapsed="false">
      <c r="A143" s="13"/>
      <c r="B143" s="13"/>
      <c r="C143" s="13"/>
      <c r="D143" s="13"/>
      <c r="E143" s="13"/>
      <c r="F143" s="13"/>
      <c r="G143" s="13"/>
      <c r="H143" s="13"/>
      <c r="I143" s="13"/>
      <c r="J143" s="14"/>
    </row>
    <row r="144" customFormat="false" ht="15" hidden="false" customHeight="true" outlineLevel="0" collapsed="false">
      <c r="A144" s="13"/>
      <c r="B144" s="13"/>
      <c r="C144" s="13"/>
      <c r="D144" s="13"/>
      <c r="E144" s="13"/>
      <c r="F144" s="13"/>
      <c r="G144" s="13"/>
      <c r="H144" s="13"/>
      <c r="I144" s="13"/>
      <c r="J144" s="14"/>
    </row>
    <row r="145" customFormat="false" ht="15" hidden="false" customHeight="true" outlineLevel="0" collapsed="false">
      <c r="A145" s="13"/>
      <c r="B145" s="13"/>
      <c r="C145" s="13"/>
      <c r="D145" s="13"/>
      <c r="E145" s="13"/>
      <c r="F145" s="13"/>
      <c r="G145" s="13"/>
      <c r="H145" s="13"/>
      <c r="I145" s="13"/>
      <c r="J145" s="14"/>
    </row>
    <row r="146" customFormat="false" ht="15" hidden="false" customHeight="true" outlineLevel="0" collapsed="false">
      <c r="A146" s="13"/>
      <c r="B146" s="13"/>
      <c r="C146" s="13"/>
      <c r="D146" s="13"/>
      <c r="E146" s="13"/>
      <c r="F146" s="13"/>
      <c r="G146" s="13"/>
      <c r="H146" s="13"/>
      <c r="I146" s="13"/>
      <c r="J146" s="14"/>
    </row>
    <row r="147" customFormat="false" ht="15" hidden="false" customHeight="true" outlineLevel="0" collapsed="false">
      <c r="A147" s="13"/>
      <c r="B147" s="13"/>
      <c r="C147" s="13"/>
      <c r="D147" s="13"/>
      <c r="E147" s="13"/>
      <c r="F147" s="13"/>
      <c r="G147" s="13"/>
      <c r="H147" s="13"/>
      <c r="I147" s="13"/>
      <c r="J147" s="14"/>
    </row>
    <row r="148" customFormat="false" ht="15" hidden="false" customHeight="true" outlineLevel="0" collapsed="false">
      <c r="A148" s="13"/>
      <c r="B148" s="13"/>
      <c r="C148" s="13"/>
      <c r="D148" s="13"/>
      <c r="E148" s="13"/>
      <c r="F148" s="13"/>
      <c r="G148" s="13"/>
      <c r="H148" s="13"/>
      <c r="I148" s="13"/>
      <c r="J148" s="14"/>
    </row>
    <row r="149" customFormat="false" ht="15" hidden="false" customHeight="true" outlineLevel="0" collapsed="false">
      <c r="A149" s="13"/>
      <c r="B149" s="13"/>
      <c r="C149" s="13"/>
      <c r="D149" s="13"/>
      <c r="E149" s="13"/>
      <c r="F149" s="13"/>
      <c r="G149" s="13"/>
      <c r="H149" s="13"/>
      <c r="I149" s="13"/>
      <c r="J149" s="14"/>
    </row>
    <row r="150" customFormat="false" ht="15" hidden="false" customHeight="true" outlineLevel="0" collapsed="false">
      <c r="A150" s="13"/>
      <c r="B150" s="13"/>
      <c r="C150" s="13"/>
      <c r="D150" s="13"/>
      <c r="E150" s="13"/>
      <c r="F150" s="13"/>
      <c r="G150" s="13"/>
      <c r="H150" s="13"/>
      <c r="I150" s="13"/>
      <c r="J150" s="14"/>
    </row>
    <row r="151" customFormat="false" ht="15" hidden="false" customHeight="true" outlineLevel="0" collapsed="false">
      <c r="A151" s="13"/>
      <c r="B151" s="13"/>
      <c r="C151" s="13"/>
      <c r="D151" s="13"/>
      <c r="E151" s="13"/>
      <c r="F151" s="13"/>
      <c r="G151" s="13"/>
      <c r="H151" s="13"/>
      <c r="I151" s="13"/>
      <c r="J151" s="14"/>
    </row>
    <row r="152" customFormat="false" ht="15" hidden="false" customHeight="true" outlineLevel="0" collapsed="false">
      <c r="A152" s="13"/>
      <c r="B152" s="13"/>
      <c r="C152" s="13"/>
      <c r="D152" s="13"/>
      <c r="E152" s="13"/>
      <c r="F152" s="13"/>
      <c r="G152" s="13"/>
      <c r="H152" s="13"/>
      <c r="I152" s="13"/>
      <c r="J152" s="14"/>
    </row>
    <row r="153" customFormat="false" ht="15" hidden="false" customHeight="true" outlineLevel="0" collapsed="false">
      <c r="A153" s="13"/>
      <c r="B153" s="13"/>
      <c r="C153" s="13"/>
      <c r="D153" s="13"/>
      <c r="E153" s="13"/>
      <c r="F153" s="13"/>
      <c r="G153" s="13"/>
      <c r="H153" s="13"/>
      <c r="I153" s="13"/>
      <c r="J153" s="14"/>
    </row>
    <row r="154" customFormat="false" ht="15" hidden="false" customHeight="true" outlineLevel="0" collapsed="false">
      <c r="A154" s="13"/>
      <c r="B154" s="13"/>
      <c r="C154" s="13"/>
      <c r="D154" s="13"/>
      <c r="E154" s="13"/>
      <c r="F154" s="13"/>
      <c r="G154" s="13"/>
      <c r="H154" s="13"/>
      <c r="I154" s="13"/>
      <c r="J154" s="14"/>
    </row>
    <row r="155" customFormat="false" ht="15" hidden="false" customHeight="true" outlineLevel="0" collapsed="false">
      <c r="A155" s="13"/>
      <c r="B155" s="13"/>
      <c r="C155" s="13"/>
      <c r="D155" s="13"/>
      <c r="E155" s="13"/>
      <c r="F155" s="13"/>
      <c r="G155" s="13"/>
      <c r="H155" s="13"/>
      <c r="I155" s="13"/>
      <c r="J155" s="14"/>
    </row>
    <row r="156" customFormat="false" ht="15" hidden="false" customHeight="true" outlineLevel="0" collapsed="false">
      <c r="A156" s="13"/>
      <c r="B156" s="13"/>
      <c r="C156" s="13"/>
      <c r="D156" s="13"/>
      <c r="E156" s="13"/>
      <c r="F156" s="13"/>
      <c r="G156" s="13"/>
      <c r="H156" s="13"/>
      <c r="I156" s="13"/>
      <c r="J156" s="14"/>
    </row>
    <row r="157" customFormat="false" ht="15" hidden="false" customHeight="true" outlineLevel="0" collapsed="false">
      <c r="A157" s="13"/>
      <c r="B157" s="13"/>
      <c r="C157" s="13"/>
      <c r="D157" s="13"/>
      <c r="E157" s="13"/>
      <c r="F157" s="13"/>
      <c r="G157" s="13"/>
      <c r="H157" s="13"/>
      <c r="I157" s="13"/>
      <c r="J157" s="14"/>
    </row>
    <row r="158" customFormat="false" ht="15" hidden="false" customHeight="true" outlineLevel="0" collapsed="false">
      <c r="A158" s="13"/>
      <c r="B158" s="13"/>
      <c r="C158" s="13"/>
      <c r="D158" s="13"/>
      <c r="E158" s="13"/>
      <c r="F158" s="13"/>
      <c r="G158" s="13"/>
      <c r="H158" s="13"/>
      <c r="I158" s="13"/>
      <c r="J158" s="14"/>
    </row>
    <row r="159" customFormat="false" ht="15" hidden="false" customHeight="true" outlineLevel="0" collapsed="false">
      <c r="A159" s="13"/>
      <c r="B159" s="13"/>
      <c r="C159" s="13"/>
      <c r="D159" s="13"/>
      <c r="E159" s="13"/>
      <c r="F159" s="13"/>
      <c r="G159" s="13"/>
      <c r="H159" s="13"/>
      <c r="I159" s="13"/>
      <c r="J159" s="14"/>
    </row>
    <row r="160" customFormat="false" ht="15" hidden="false" customHeight="true" outlineLevel="0" collapsed="false">
      <c r="A160" s="13"/>
      <c r="B160" s="13"/>
      <c r="C160" s="13"/>
      <c r="D160" s="13"/>
      <c r="E160" s="13"/>
      <c r="F160" s="13"/>
      <c r="G160" s="13"/>
      <c r="H160" s="13"/>
      <c r="I160" s="13"/>
      <c r="J160" s="14"/>
    </row>
    <row r="161" customFormat="false" ht="15" hidden="false" customHeight="true" outlineLevel="0" collapsed="false">
      <c r="A161" s="13"/>
      <c r="B161" s="13"/>
      <c r="C161" s="13"/>
      <c r="D161" s="13"/>
      <c r="E161" s="13"/>
      <c r="F161" s="13"/>
      <c r="G161" s="13"/>
      <c r="H161" s="13"/>
      <c r="I161" s="13"/>
      <c r="J161" s="14"/>
    </row>
    <row r="162" customFormat="false" ht="15" hidden="false" customHeight="true" outlineLevel="0" collapsed="false">
      <c r="A162" s="13"/>
      <c r="B162" s="13"/>
      <c r="C162" s="13"/>
      <c r="D162" s="13"/>
      <c r="E162" s="13"/>
      <c r="F162" s="13"/>
      <c r="G162" s="13"/>
      <c r="H162" s="13"/>
      <c r="I162" s="13"/>
      <c r="J162" s="14"/>
    </row>
    <row r="163" customFormat="false" ht="15" hidden="false" customHeight="true" outlineLevel="0" collapsed="false">
      <c r="A163" s="13"/>
      <c r="B163" s="13"/>
      <c r="C163" s="13"/>
      <c r="D163" s="13"/>
      <c r="E163" s="13"/>
      <c r="F163" s="13"/>
      <c r="G163" s="13"/>
      <c r="H163" s="13"/>
      <c r="I163" s="13"/>
      <c r="J163" s="14"/>
    </row>
    <row r="164" customFormat="false" ht="15" hidden="false" customHeight="true" outlineLevel="0" collapsed="false">
      <c r="A164" s="13"/>
      <c r="B164" s="13"/>
      <c r="C164" s="13"/>
      <c r="D164" s="13"/>
      <c r="E164" s="13"/>
      <c r="F164" s="13"/>
      <c r="G164" s="13"/>
      <c r="H164" s="13"/>
      <c r="I164" s="13"/>
      <c r="J164" s="14"/>
    </row>
    <row r="165" customFormat="false" ht="15" hidden="false" customHeight="true" outlineLevel="0" collapsed="false">
      <c r="A165" s="13"/>
      <c r="B165" s="13"/>
      <c r="C165" s="13"/>
      <c r="D165" s="13"/>
      <c r="E165" s="13"/>
      <c r="F165" s="13"/>
      <c r="G165" s="13"/>
      <c r="H165" s="13"/>
      <c r="I165" s="13"/>
      <c r="J165" s="14"/>
    </row>
    <row r="166" customFormat="false" ht="15" hidden="false" customHeight="true" outlineLevel="0" collapsed="false">
      <c r="A166" s="13"/>
      <c r="B166" s="13"/>
      <c r="C166" s="13"/>
      <c r="D166" s="13"/>
      <c r="E166" s="13"/>
      <c r="F166" s="13"/>
      <c r="G166" s="13"/>
      <c r="H166" s="13"/>
      <c r="I166" s="13"/>
      <c r="J166" s="14"/>
    </row>
    <row r="167" customFormat="false" ht="15" hidden="false" customHeight="true" outlineLevel="0" collapsed="false">
      <c r="A167" s="13"/>
      <c r="B167" s="13"/>
      <c r="C167" s="13"/>
      <c r="D167" s="13"/>
      <c r="E167" s="13"/>
      <c r="F167" s="13"/>
      <c r="G167" s="13"/>
      <c r="H167" s="13"/>
      <c r="I167" s="13"/>
      <c r="J167" s="14"/>
    </row>
    <row r="168" customFormat="false" ht="15" hidden="false" customHeight="true" outlineLevel="0" collapsed="false">
      <c r="A168" s="13"/>
      <c r="B168" s="13"/>
      <c r="C168" s="13"/>
      <c r="D168" s="13"/>
      <c r="E168" s="13"/>
      <c r="F168" s="13"/>
      <c r="G168" s="13"/>
      <c r="H168" s="13"/>
      <c r="I168" s="13"/>
      <c r="J168" s="14"/>
    </row>
    <row r="169" customFormat="false" ht="15" hidden="false" customHeight="true" outlineLevel="0" collapsed="false">
      <c r="A169" s="13"/>
      <c r="B169" s="13"/>
      <c r="C169" s="13"/>
      <c r="D169" s="13"/>
      <c r="E169" s="13"/>
      <c r="F169" s="13"/>
      <c r="G169" s="13"/>
      <c r="H169" s="13"/>
      <c r="I169" s="13"/>
      <c r="J169" s="14"/>
    </row>
    <row r="170" customFormat="false" ht="15" hidden="false" customHeight="true" outlineLevel="0" collapsed="false">
      <c r="A170" s="13"/>
      <c r="B170" s="13"/>
      <c r="C170" s="13"/>
      <c r="D170" s="13"/>
      <c r="E170" s="13"/>
      <c r="F170" s="13"/>
      <c r="G170" s="13"/>
      <c r="H170" s="13"/>
      <c r="I170" s="13"/>
      <c r="J170" s="14"/>
    </row>
    <row r="171" customFormat="false" ht="15" hidden="false" customHeight="true" outlineLevel="0" collapsed="false">
      <c r="A171" s="13"/>
      <c r="B171" s="13"/>
      <c r="C171" s="13"/>
      <c r="D171" s="13"/>
      <c r="E171" s="13"/>
      <c r="F171" s="13"/>
      <c r="G171" s="13"/>
      <c r="H171" s="13"/>
      <c r="I171" s="13"/>
      <c r="J171" s="14"/>
    </row>
    <row r="172" customFormat="false" ht="15" hidden="false" customHeight="true" outlineLevel="0" collapsed="false">
      <c r="A172" s="13"/>
      <c r="B172" s="13"/>
      <c r="C172" s="13"/>
      <c r="D172" s="13"/>
      <c r="E172" s="13"/>
      <c r="F172" s="13"/>
      <c r="G172" s="13"/>
      <c r="H172" s="13"/>
      <c r="I172" s="13"/>
      <c r="J172" s="14"/>
    </row>
    <row r="173" customFormat="false" ht="15" hidden="false" customHeight="true" outlineLevel="0" collapsed="false">
      <c r="A173" s="13"/>
      <c r="B173" s="13"/>
      <c r="C173" s="13"/>
      <c r="D173" s="13"/>
      <c r="E173" s="13"/>
      <c r="F173" s="13"/>
      <c r="G173" s="13"/>
      <c r="H173" s="13"/>
      <c r="I173" s="13"/>
      <c r="J173" s="14"/>
    </row>
    <row r="174" customFormat="false" ht="15" hidden="false" customHeight="true" outlineLevel="0" collapsed="false">
      <c r="A174" s="13"/>
      <c r="B174" s="13"/>
      <c r="C174" s="13"/>
      <c r="D174" s="13"/>
      <c r="E174" s="13"/>
      <c r="F174" s="13"/>
      <c r="G174" s="13"/>
      <c r="H174" s="13"/>
      <c r="I174" s="13"/>
      <c r="J174" s="14"/>
    </row>
    <row r="175" customFormat="false" ht="15" hidden="false" customHeight="true" outlineLevel="0" collapsed="false">
      <c r="A175" s="13"/>
      <c r="B175" s="13"/>
      <c r="C175" s="13"/>
      <c r="D175" s="13"/>
      <c r="E175" s="13"/>
      <c r="F175" s="13"/>
      <c r="G175" s="13"/>
      <c r="H175" s="13"/>
      <c r="I175" s="13"/>
      <c r="J175" s="14"/>
    </row>
    <row r="176" customFormat="false" ht="15" hidden="false" customHeight="true" outlineLevel="0" collapsed="false">
      <c r="A176" s="13"/>
      <c r="B176" s="13"/>
      <c r="C176" s="13"/>
      <c r="D176" s="13"/>
      <c r="E176" s="13"/>
      <c r="F176" s="13"/>
      <c r="G176" s="13"/>
      <c r="H176" s="13"/>
      <c r="I176" s="13"/>
      <c r="J176" s="14"/>
    </row>
    <row r="177" customFormat="false" ht="15" hidden="false" customHeight="true" outlineLevel="0" collapsed="false">
      <c r="A177" s="13"/>
      <c r="B177" s="13"/>
      <c r="C177" s="13"/>
      <c r="D177" s="13"/>
      <c r="E177" s="13"/>
      <c r="F177" s="13"/>
      <c r="G177" s="13"/>
      <c r="H177" s="13"/>
      <c r="I177" s="13"/>
      <c r="J177" s="14"/>
    </row>
    <row r="178" customFormat="false" ht="15" hidden="false" customHeight="true" outlineLevel="0" collapsed="false">
      <c r="A178" s="13"/>
      <c r="B178" s="13"/>
      <c r="C178" s="13"/>
      <c r="D178" s="13"/>
      <c r="E178" s="13"/>
      <c r="F178" s="13"/>
      <c r="G178" s="13"/>
      <c r="H178" s="13"/>
      <c r="I178" s="13"/>
      <c r="J178" s="14"/>
    </row>
    <row r="179" customFormat="false" ht="15" hidden="false" customHeight="true" outlineLevel="0" collapsed="false">
      <c r="A179" s="13"/>
      <c r="B179" s="13"/>
      <c r="C179" s="13"/>
      <c r="D179" s="13"/>
      <c r="E179" s="13"/>
      <c r="F179" s="13"/>
      <c r="G179" s="13"/>
      <c r="H179" s="13"/>
      <c r="I179" s="13"/>
      <c r="J179" s="14"/>
    </row>
    <row r="180" customFormat="false" ht="15" hidden="false" customHeight="true" outlineLevel="0" collapsed="false">
      <c r="A180" s="13"/>
      <c r="B180" s="13"/>
      <c r="C180" s="13"/>
      <c r="D180" s="13"/>
      <c r="E180" s="13"/>
      <c r="F180" s="13"/>
      <c r="G180" s="13"/>
      <c r="H180" s="13"/>
      <c r="I180" s="13"/>
      <c r="J180" s="14"/>
    </row>
    <row r="181" customFormat="false" ht="15" hidden="false" customHeight="true" outlineLevel="0" collapsed="false">
      <c r="A181" s="13"/>
      <c r="B181" s="13"/>
      <c r="C181" s="13"/>
      <c r="D181" s="13"/>
      <c r="E181" s="13"/>
      <c r="F181" s="13"/>
      <c r="G181" s="13"/>
      <c r="H181" s="13"/>
      <c r="I181" s="13"/>
      <c r="J181" s="14"/>
    </row>
    <row r="182" customFormat="false" ht="15" hidden="false" customHeight="true" outlineLevel="0" collapsed="false">
      <c r="A182" s="13"/>
      <c r="B182" s="13"/>
      <c r="C182" s="13"/>
      <c r="D182" s="13"/>
      <c r="E182" s="13"/>
      <c r="F182" s="13"/>
      <c r="G182" s="13"/>
      <c r="H182" s="13"/>
      <c r="I182" s="13"/>
      <c r="J182" s="14"/>
    </row>
    <row r="183" customFormat="false" ht="15" hidden="false" customHeight="true" outlineLevel="0" collapsed="false">
      <c r="A183" s="13"/>
      <c r="B183" s="13"/>
      <c r="C183" s="13"/>
      <c r="D183" s="13"/>
      <c r="E183" s="13"/>
      <c r="F183" s="13"/>
      <c r="G183" s="13"/>
      <c r="H183" s="13"/>
      <c r="I183" s="13"/>
      <c r="J183" s="14"/>
    </row>
    <row r="184" customFormat="false" ht="15" hidden="false" customHeight="true" outlineLevel="0" collapsed="false">
      <c r="A184" s="13"/>
      <c r="B184" s="13"/>
      <c r="C184" s="13"/>
      <c r="D184" s="13"/>
      <c r="E184" s="13"/>
      <c r="F184" s="13"/>
      <c r="G184" s="13"/>
      <c r="H184" s="13"/>
      <c r="I184" s="13"/>
      <c r="J184" s="14"/>
    </row>
    <row r="185" customFormat="false" ht="15" hidden="false" customHeight="true" outlineLevel="0" collapsed="false">
      <c r="A185" s="13"/>
      <c r="B185" s="13"/>
      <c r="C185" s="13"/>
      <c r="D185" s="13"/>
      <c r="E185" s="13"/>
      <c r="F185" s="13"/>
      <c r="G185" s="13"/>
      <c r="H185" s="13"/>
      <c r="I185" s="13"/>
      <c r="J185" s="14"/>
    </row>
    <row r="186" customFormat="false" ht="15" hidden="false" customHeight="true" outlineLevel="0" collapsed="false">
      <c r="A186" s="13"/>
      <c r="B186" s="13"/>
      <c r="C186" s="13"/>
      <c r="D186" s="13"/>
      <c r="E186" s="13"/>
      <c r="F186" s="13"/>
      <c r="G186" s="13"/>
      <c r="H186" s="13"/>
      <c r="I186" s="13"/>
      <c r="J186" s="14"/>
    </row>
    <row r="187" customFormat="false" ht="15" hidden="false" customHeight="true" outlineLevel="0" collapsed="false">
      <c r="A187" s="13"/>
      <c r="B187" s="13"/>
      <c r="C187" s="13"/>
      <c r="D187" s="13"/>
      <c r="E187" s="13"/>
      <c r="F187" s="13"/>
      <c r="G187" s="13"/>
      <c r="H187" s="13"/>
      <c r="I187" s="13"/>
      <c r="J187" s="14"/>
    </row>
    <row r="188" customFormat="false" ht="15" hidden="false" customHeight="true" outlineLevel="0" collapsed="false">
      <c r="A188" s="13"/>
      <c r="B188" s="13"/>
      <c r="C188" s="13"/>
      <c r="D188" s="13"/>
      <c r="E188" s="13"/>
      <c r="F188" s="13"/>
      <c r="G188" s="13"/>
      <c r="H188" s="13"/>
      <c r="I188" s="13"/>
      <c r="J188" s="14"/>
    </row>
    <row r="189" customFormat="false" ht="15" hidden="false" customHeight="true" outlineLevel="0" collapsed="false">
      <c r="A189" s="13"/>
      <c r="B189" s="13"/>
      <c r="C189" s="13"/>
      <c r="D189" s="13"/>
      <c r="E189" s="13"/>
      <c r="F189" s="13"/>
      <c r="G189" s="13"/>
      <c r="H189" s="13"/>
      <c r="I189" s="13"/>
      <c r="J189" s="14"/>
    </row>
    <row r="190" customFormat="false" ht="15" hidden="false" customHeight="true" outlineLevel="0" collapsed="false">
      <c r="A190" s="13"/>
      <c r="B190" s="13"/>
      <c r="C190" s="13"/>
      <c r="D190" s="13"/>
      <c r="E190" s="13"/>
      <c r="F190" s="13"/>
      <c r="G190" s="13"/>
      <c r="H190" s="13"/>
      <c r="I190" s="13"/>
      <c r="J190" s="14"/>
    </row>
    <row r="191" customFormat="false" ht="15" hidden="false" customHeight="true" outlineLevel="0" collapsed="false">
      <c r="A191" s="13"/>
      <c r="B191" s="13"/>
      <c r="C191" s="13"/>
      <c r="D191" s="13"/>
      <c r="E191" s="13"/>
      <c r="F191" s="13"/>
      <c r="G191" s="13"/>
      <c r="H191" s="13"/>
      <c r="I191" s="13"/>
      <c r="J191" s="14"/>
    </row>
    <row r="192" customFormat="false" ht="15" hidden="false" customHeight="true" outlineLevel="0" collapsed="false">
      <c r="A192" s="13"/>
      <c r="B192" s="13"/>
      <c r="C192" s="13"/>
      <c r="D192" s="13"/>
      <c r="E192" s="13"/>
      <c r="F192" s="13"/>
      <c r="G192" s="13"/>
      <c r="H192" s="13"/>
      <c r="I192" s="13"/>
      <c r="J192" s="14"/>
    </row>
    <row r="193" customFormat="false" ht="15" hidden="false" customHeight="true" outlineLevel="0" collapsed="false">
      <c r="A193" s="13"/>
      <c r="B193" s="13"/>
      <c r="C193" s="13"/>
      <c r="D193" s="13"/>
      <c r="E193" s="13"/>
      <c r="F193" s="13"/>
      <c r="G193" s="13"/>
      <c r="H193" s="13"/>
      <c r="I193" s="13"/>
      <c r="J193" s="14"/>
    </row>
    <row r="194" customFormat="false" ht="15" hidden="false" customHeight="true" outlineLevel="0" collapsed="false">
      <c r="A194" s="13"/>
      <c r="B194" s="13"/>
      <c r="C194" s="13"/>
      <c r="D194" s="13"/>
      <c r="E194" s="13"/>
      <c r="F194" s="13"/>
      <c r="G194" s="13"/>
      <c r="H194" s="13"/>
      <c r="I194" s="13"/>
      <c r="J194" s="14"/>
    </row>
    <row r="195" customFormat="false" ht="15" hidden="false" customHeight="true" outlineLevel="0" collapsed="false">
      <c r="A195" s="13"/>
      <c r="B195" s="13"/>
      <c r="C195" s="13"/>
      <c r="D195" s="13"/>
      <c r="E195" s="13"/>
      <c r="F195" s="13"/>
      <c r="G195" s="13"/>
      <c r="H195" s="13"/>
      <c r="I195" s="13"/>
      <c r="J195" s="14"/>
    </row>
    <row r="196" customFormat="false" ht="15" hidden="false" customHeight="true" outlineLevel="0" collapsed="false">
      <c r="A196" s="13"/>
      <c r="B196" s="13"/>
      <c r="C196" s="13"/>
      <c r="D196" s="13"/>
      <c r="E196" s="13"/>
      <c r="F196" s="13"/>
      <c r="G196" s="13"/>
      <c r="H196" s="13"/>
      <c r="I196" s="13"/>
      <c r="J196" s="14"/>
    </row>
    <row r="197" customFormat="false" ht="15" hidden="false" customHeight="true" outlineLevel="0" collapsed="false">
      <c r="A197" s="13"/>
      <c r="B197" s="13"/>
      <c r="C197" s="13"/>
      <c r="D197" s="13"/>
      <c r="E197" s="13"/>
      <c r="F197" s="13"/>
      <c r="G197" s="13"/>
      <c r="H197" s="13"/>
      <c r="I197" s="13"/>
      <c r="J197" s="14"/>
    </row>
    <row r="198" customFormat="false" ht="15" hidden="false" customHeight="true" outlineLevel="0" collapsed="false">
      <c r="A198" s="13"/>
      <c r="B198" s="13"/>
      <c r="C198" s="13"/>
      <c r="D198" s="13"/>
      <c r="E198" s="13"/>
      <c r="F198" s="13"/>
      <c r="G198" s="13"/>
      <c r="H198" s="13"/>
      <c r="I198" s="13"/>
      <c r="J198" s="14"/>
    </row>
    <row r="199" customFormat="false" ht="15" hidden="false" customHeight="true" outlineLevel="0" collapsed="false">
      <c r="A199" s="13"/>
      <c r="B199" s="13"/>
      <c r="C199" s="13"/>
      <c r="D199" s="13"/>
      <c r="E199" s="13"/>
      <c r="F199" s="13"/>
      <c r="G199" s="13"/>
      <c r="H199" s="13"/>
      <c r="I199" s="13"/>
      <c r="J199" s="14"/>
    </row>
    <row r="200" customFormat="false" ht="15" hidden="false" customHeight="true" outlineLevel="0" collapsed="false">
      <c r="A200" s="13"/>
      <c r="B200" s="13"/>
      <c r="C200" s="13"/>
      <c r="D200" s="13"/>
      <c r="E200" s="13"/>
      <c r="F200" s="13"/>
      <c r="G200" s="13"/>
      <c r="H200" s="13"/>
      <c r="I200" s="13"/>
      <c r="J200" s="14"/>
    </row>
    <row r="201" customFormat="false" ht="15" hidden="false" customHeight="true" outlineLevel="0" collapsed="false">
      <c r="A201" s="13"/>
      <c r="B201" s="13"/>
      <c r="C201" s="13"/>
      <c r="D201" s="13"/>
      <c r="E201" s="13"/>
      <c r="F201" s="13"/>
      <c r="G201" s="13"/>
      <c r="H201" s="13"/>
      <c r="I201" s="13"/>
      <c r="J201" s="14"/>
    </row>
  </sheetData>
  <autoFilter ref="A1:J201"/>
  <dataValidations count="3">
    <dataValidation allowBlank="true" errorStyle="stop" operator="between" showDropDown="false" showErrorMessage="false" showInputMessage="false" sqref="B2:B201" type="list">
      <formula1>Lists!$B$2:$B$4</formula1>
      <formula2>0</formula2>
    </dataValidation>
    <dataValidation allowBlank="true" errorStyle="stop" operator="between" showDropDown="false" showErrorMessage="false" showInputMessage="false" sqref="E2:E201" type="list">
      <formula1>Lists!$H$2:$H$16</formula1>
      <formula2>0</formula2>
    </dataValidation>
    <dataValidation allowBlank="true" errorStyle="stop" operator="between" showDropDown="false" showErrorMessage="false" showInputMessage="false" sqref="H2:H201" type="list">
      <formula1>Lists!$E$2:$E$6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6"/>
    <col collapsed="false" customWidth="true" hidden="false" outlineLevel="0" max="3" min="3" style="1" width="34"/>
    <col collapsed="false" customWidth="true" hidden="false" outlineLevel="0" max="4" min="4" style="1" width="30"/>
    <col collapsed="false" customWidth="true" hidden="false" outlineLevel="0" max="6" min="5" style="1" width="18"/>
    <col collapsed="false" customWidth="true" hidden="false" outlineLevel="0" max="7" min="7" style="1" width="14"/>
    <col collapsed="false" customWidth="true" hidden="false" outlineLevel="0" max="8" min="8" style="1" width="40"/>
    <col collapsed="false" customWidth="true" hidden="false" outlineLevel="0" max="9" min="9" style="1" width="13"/>
    <col collapsed="false" customWidth="true" hidden="false" outlineLevel="0" max="10" min="10" style="1" width="14"/>
    <col collapsed="false" customWidth="true" hidden="false" outlineLevel="0" max="11" min="11" style="1" width="13"/>
  </cols>
  <sheetData>
    <row r="1" customFormat="false" ht="30" hidden="false" customHeight="true" outlineLevel="0" collapsed="false">
      <c r="A1" s="10" t="s">
        <v>383</v>
      </c>
      <c r="B1" s="10" t="s">
        <v>1954</v>
      </c>
      <c r="C1" s="10" t="s">
        <v>386</v>
      </c>
      <c r="D1" s="10" t="s">
        <v>1955</v>
      </c>
      <c r="E1" s="10" t="s">
        <v>43</v>
      </c>
      <c r="F1" s="10" t="s">
        <v>44</v>
      </c>
      <c r="G1" s="10" t="s">
        <v>718</v>
      </c>
      <c r="H1" s="10" t="s">
        <v>1956</v>
      </c>
      <c r="I1" s="10" t="s">
        <v>47</v>
      </c>
      <c r="J1" s="10" t="s">
        <v>48</v>
      </c>
      <c r="K1" s="10" t="s">
        <v>49</v>
      </c>
    </row>
    <row r="2" customFormat="false" ht="23.25" hidden="false" customHeight="true" outlineLevel="0" collapsed="false">
      <c r="A2" s="11" t="s">
        <v>519</v>
      </c>
      <c r="B2" s="11" t="s">
        <v>521</v>
      </c>
      <c r="C2" s="11" t="s">
        <v>1957</v>
      </c>
      <c r="D2" s="11" t="s">
        <v>522</v>
      </c>
      <c r="E2" s="11" t="s">
        <v>523</v>
      </c>
      <c r="F2" s="11" t="s">
        <v>773</v>
      </c>
      <c r="G2" s="11" t="s">
        <v>728</v>
      </c>
      <c r="H2" s="11" t="s">
        <v>1958</v>
      </c>
      <c r="I2" s="11" t="s">
        <v>60</v>
      </c>
      <c r="J2" s="13"/>
      <c r="K2" s="14"/>
    </row>
    <row r="3" customFormat="false" ht="15" hidden="false" customHeight="true" outlineLevel="0" collapsed="false">
      <c r="A3" s="11" t="s">
        <v>623</v>
      </c>
      <c r="B3" s="11" t="s">
        <v>625</v>
      </c>
      <c r="C3" s="11" t="s">
        <v>1409</v>
      </c>
      <c r="D3" s="11" t="s">
        <v>1959</v>
      </c>
      <c r="E3" s="11" t="s">
        <v>627</v>
      </c>
      <c r="F3" s="11" t="s">
        <v>192</v>
      </c>
      <c r="G3" s="11" t="s">
        <v>728</v>
      </c>
      <c r="H3" s="11" t="s">
        <v>1960</v>
      </c>
      <c r="I3" s="11" t="s">
        <v>60</v>
      </c>
      <c r="J3" s="13"/>
      <c r="K3" s="14"/>
    </row>
    <row r="4" customFormat="false" ht="23.25" hidden="false" customHeight="true" outlineLevel="0" collapsed="false">
      <c r="A4" s="11" t="s">
        <v>561</v>
      </c>
      <c r="B4" s="11" t="s">
        <v>563</v>
      </c>
      <c r="C4" s="11" t="s">
        <v>1961</v>
      </c>
      <c r="D4" s="11" t="s">
        <v>1962</v>
      </c>
      <c r="E4" s="11" t="s">
        <v>565</v>
      </c>
      <c r="F4" s="11" t="s">
        <v>183</v>
      </c>
      <c r="G4" s="11" t="s">
        <v>728</v>
      </c>
      <c r="H4" s="11" t="s">
        <v>1963</v>
      </c>
      <c r="I4" s="11" t="s">
        <v>60</v>
      </c>
      <c r="J4" s="13"/>
      <c r="K4" s="14"/>
    </row>
    <row r="5" customFormat="false" ht="23.25" hidden="false" customHeight="true" outlineLevel="0" collapsed="false">
      <c r="A5" s="11" t="s">
        <v>648</v>
      </c>
      <c r="B5" s="11" t="s">
        <v>650</v>
      </c>
      <c r="C5" s="11" t="s">
        <v>1964</v>
      </c>
      <c r="D5" s="11" t="s">
        <v>1965</v>
      </c>
      <c r="E5" s="11" t="s">
        <v>652</v>
      </c>
      <c r="F5" s="11" t="s">
        <v>109</v>
      </c>
      <c r="G5" s="11" t="s">
        <v>728</v>
      </c>
      <c r="H5" s="11" t="s">
        <v>1966</v>
      </c>
      <c r="I5" s="11" t="s">
        <v>60</v>
      </c>
      <c r="J5" s="13"/>
      <c r="K5" s="14"/>
    </row>
    <row r="6" customFormat="false" ht="15" hidden="false" customHeight="true" outlineLevel="0" collapsed="false">
      <c r="A6" s="13"/>
      <c r="B6" s="13"/>
      <c r="C6" s="13"/>
      <c r="D6" s="13"/>
      <c r="E6" s="13"/>
      <c r="F6" s="13"/>
      <c r="G6" s="13"/>
      <c r="H6" s="13"/>
      <c r="I6" s="13"/>
      <c r="J6" s="13"/>
      <c r="K6" s="14"/>
    </row>
    <row r="7" customFormat="false" ht="15" hidden="false" customHeight="true" outlineLevel="0" collapsed="false">
      <c r="A7" s="13"/>
      <c r="B7" s="13"/>
      <c r="C7" s="13"/>
      <c r="D7" s="13"/>
      <c r="E7" s="13"/>
      <c r="F7" s="13"/>
      <c r="G7" s="13"/>
      <c r="H7" s="13"/>
      <c r="I7" s="13"/>
      <c r="J7" s="13"/>
      <c r="K7" s="14"/>
    </row>
    <row r="8" customFormat="false" ht="15" hidden="false" customHeight="true" outlineLevel="0" collapsed="false">
      <c r="A8" s="13"/>
      <c r="B8" s="13"/>
      <c r="C8" s="13"/>
      <c r="D8" s="13"/>
      <c r="E8" s="13"/>
      <c r="F8" s="13"/>
      <c r="G8" s="13"/>
      <c r="H8" s="13"/>
      <c r="I8" s="13"/>
      <c r="J8" s="13"/>
      <c r="K8" s="14"/>
    </row>
    <row r="9" customFormat="false" ht="15" hidden="false" customHeight="true" outlineLevel="0" collapsed="false">
      <c r="A9" s="13"/>
      <c r="B9" s="13"/>
      <c r="C9" s="13"/>
      <c r="D9" s="13"/>
      <c r="E9" s="13"/>
      <c r="F9" s="13"/>
      <c r="G9" s="13"/>
      <c r="H9" s="13"/>
      <c r="I9" s="13"/>
      <c r="J9" s="13"/>
      <c r="K9" s="14"/>
    </row>
    <row r="10" customFormat="false" ht="15" hidden="false" customHeight="true" outlineLevel="0" collapsed="false">
      <c r="A10" s="13"/>
      <c r="B10" s="13"/>
      <c r="C10" s="13"/>
      <c r="D10" s="13"/>
      <c r="E10" s="13"/>
      <c r="F10" s="13"/>
      <c r="G10" s="13"/>
      <c r="H10" s="13"/>
      <c r="I10" s="13"/>
      <c r="J10" s="13"/>
      <c r="K10" s="14"/>
    </row>
    <row r="11" customFormat="false" ht="15" hidden="false" customHeight="true" outlineLevel="0" collapsed="false">
      <c r="A11" s="13"/>
      <c r="B11" s="13"/>
      <c r="C11" s="13"/>
      <c r="D11" s="13"/>
      <c r="E11" s="13"/>
      <c r="F11" s="13"/>
      <c r="G11" s="13"/>
      <c r="H11" s="13"/>
      <c r="I11" s="13"/>
      <c r="J11" s="13"/>
      <c r="K11" s="14"/>
    </row>
    <row r="12" customFormat="false" ht="15" hidden="false" customHeight="true" outlineLevel="0" collapsed="false">
      <c r="A12" s="13"/>
      <c r="B12" s="13"/>
      <c r="C12" s="13"/>
      <c r="D12" s="13"/>
      <c r="E12" s="13"/>
      <c r="F12" s="13"/>
      <c r="G12" s="13"/>
      <c r="H12" s="13"/>
      <c r="I12" s="13"/>
      <c r="J12" s="13"/>
      <c r="K12" s="14"/>
    </row>
    <row r="13" customFormat="false" ht="15" hidden="false" customHeight="true" outlineLevel="0" collapsed="false">
      <c r="A13" s="13"/>
      <c r="B13" s="13"/>
      <c r="C13" s="13"/>
      <c r="D13" s="13"/>
      <c r="E13" s="13"/>
      <c r="F13" s="13"/>
      <c r="G13" s="13"/>
      <c r="H13" s="13"/>
      <c r="I13" s="13"/>
      <c r="J13" s="13"/>
      <c r="K13" s="14"/>
    </row>
    <row r="14" customFormat="false" ht="15" hidden="false" customHeight="true" outlineLevel="0" collapsed="false">
      <c r="A14" s="13"/>
      <c r="B14" s="13"/>
      <c r="C14" s="13"/>
      <c r="D14" s="13"/>
      <c r="E14" s="13"/>
      <c r="F14" s="13"/>
      <c r="G14" s="13"/>
      <c r="H14" s="13"/>
      <c r="I14" s="13"/>
      <c r="J14" s="13"/>
      <c r="K14" s="14"/>
    </row>
    <row r="15" customFormat="false" ht="15" hidden="false" customHeight="true" outlineLevel="0" collapsed="false">
      <c r="A15" s="13"/>
      <c r="B15" s="13"/>
      <c r="C15" s="13"/>
      <c r="D15" s="13"/>
      <c r="E15" s="13"/>
      <c r="F15" s="13"/>
      <c r="G15" s="13"/>
      <c r="H15" s="13"/>
      <c r="I15" s="13"/>
      <c r="J15" s="13"/>
      <c r="K15" s="14"/>
    </row>
    <row r="16" customFormat="false" ht="15" hidden="false" customHeight="true" outlineLevel="0" collapsed="false">
      <c r="A16" s="13"/>
      <c r="B16" s="13"/>
      <c r="C16" s="13"/>
      <c r="D16" s="13"/>
      <c r="E16" s="13"/>
      <c r="F16" s="13"/>
      <c r="G16" s="13"/>
      <c r="H16" s="13"/>
      <c r="I16" s="13"/>
      <c r="J16" s="13"/>
      <c r="K16" s="14"/>
    </row>
    <row r="17" customFormat="false" ht="15" hidden="false" customHeight="true" outlineLevel="0" collapsed="false">
      <c r="A17" s="13"/>
      <c r="B17" s="13"/>
      <c r="C17" s="13"/>
      <c r="D17" s="13"/>
      <c r="E17" s="13"/>
      <c r="F17" s="13"/>
      <c r="G17" s="13"/>
      <c r="H17" s="13"/>
      <c r="I17" s="13"/>
      <c r="J17" s="13"/>
      <c r="K17" s="14"/>
    </row>
    <row r="18" customFormat="false" ht="15" hidden="false" customHeight="true" outlineLevel="0" collapsed="false">
      <c r="A18" s="13"/>
      <c r="B18" s="13"/>
      <c r="C18" s="13"/>
      <c r="D18" s="13"/>
      <c r="E18" s="13"/>
      <c r="F18" s="13"/>
      <c r="G18" s="13"/>
      <c r="H18" s="13"/>
      <c r="I18" s="13"/>
      <c r="J18" s="13"/>
      <c r="K18" s="14"/>
    </row>
    <row r="19" customFormat="false" ht="15" hidden="false" customHeight="true" outlineLevel="0" collapsed="false">
      <c r="A19" s="13"/>
      <c r="B19" s="13"/>
      <c r="C19" s="13"/>
      <c r="D19" s="13"/>
      <c r="E19" s="13"/>
      <c r="F19" s="13"/>
      <c r="G19" s="13"/>
      <c r="H19" s="13"/>
      <c r="I19" s="13"/>
      <c r="J19" s="13"/>
      <c r="K19" s="14"/>
    </row>
    <row r="20" customFormat="false" ht="15" hidden="false" customHeight="true" outlineLevel="0" collapsed="false">
      <c r="A20" s="13"/>
      <c r="B20" s="13"/>
      <c r="C20" s="13"/>
      <c r="D20" s="13"/>
      <c r="E20" s="13"/>
      <c r="F20" s="13"/>
      <c r="G20" s="13"/>
      <c r="H20" s="13"/>
      <c r="I20" s="13"/>
      <c r="J20" s="13"/>
      <c r="K20" s="14"/>
    </row>
    <row r="21" customFormat="false" ht="15" hidden="false" customHeight="true" outlineLevel="0" collapsed="false">
      <c r="A21" s="13"/>
      <c r="B21" s="13"/>
      <c r="C21" s="13"/>
      <c r="D21" s="13"/>
      <c r="E21" s="13"/>
      <c r="F21" s="13"/>
      <c r="G21" s="13"/>
      <c r="H21" s="13"/>
      <c r="I21" s="13"/>
      <c r="J21" s="13"/>
      <c r="K21" s="14"/>
    </row>
    <row r="22" customFormat="false" ht="15" hidden="false" customHeight="true" outlineLevel="0" collapsed="false">
      <c r="A22" s="13"/>
      <c r="B22" s="13"/>
      <c r="C22" s="13"/>
      <c r="D22" s="13"/>
      <c r="E22" s="13"/>
      <c r="F22" s="13"/>
      <c r="G22" s="13"/>
      <c r="H22" s="13"/>
      <c r="I22" s="13"/>
      <c r="J22" s="13"/>
      <c r="K22" s="14"/>
    </row>
    <row r="23" customFormat="false" ht="15" hidden="false" customHeight="true" outlineLevel="0" collapsed="false">
      <c r="A23" s="13"/>
      <c r="B23" s="13"/>
      <c r="C23" s="13"/>
      <c r="D23" s="13"/>
      <c r="E23" s="13"/>
      <c r="F23" s="13"/>
      <c r="G23" s="13"/>
      <c r="H23" s="13"/>
      <c r="I23" s="13"/>
      <c r="J23" s="13"/>
      <c r="K23" s="14"/>
    </row>
    <row r="24" customFormat="false" ht="15" hidden="false" customHeight="true" outlineLevel="0" collapsed="false">
      <c r="A24" s="13"/>
      <c r="B24" s="13"/>
      <c r="C24" s="13"/>
      <c r="D24" s="13"/>
      <c r="E24" s="13"/>
      <c r="F24" s="13"/>
      <c r="G24" s="13"/>
      <c r="H24" s="13"/>
      <c r="I24" s="13"/>
      <c r="J24" s="13"/>
      <c r="K24" s="14"/>
    </row>
    <row r="25" customFormat="false" ht="15" hidden="false" customHeight="true" outlineLevel="0" collapsed="false">
      <c r="A25" s="13"/>
      <c r="B25" s="13"/>
      <c r="C25" s="13"/>
      <c r="D25" s="13"/>
      <c r="E25" s="13"/>
      <c r="F25" s="13"/>
      <c r="G25" s="13"/>
      <c r="H25" s="13"/>
      <c r="I25" s="13"/>
      <c r="J25" s="13"/>
      <c r="K25" s="14"/>
    </row>
    <row r="26" customFormat="false" ht="15" hidden="false" customHeight="true" outlineLevel="0" collapsed="false">
      <c r="A26" s="13"/>
      <c r="B26" s="13"/>
      <c r="C26" s="13"/>
      <c r="D26" s="13"/>
      <c r="E26" s="13"/>
      <c r="F26" s="13"/>
      <c r="G26" s="13"/>
      <c r="H26" s="13"/>
      <c r="I26" s="13"/>
      <c r="J26" s="13"/>
      <c r="K26" s="14"/>
    </row>
    <row r="27" customFormat="false" ht="15" hidden="false" customHeight="true" outlineLevel="0" collapsed="false">
      <c r="A27" s="13"/>
      <c r="B27" s="13"/>
      <c r="C27" s="13"/>
      <c r="D27" s="13"/>
      <c r="E27" s="13"/>
      <c r="F27" s="13"/>
      <c r="G27" s="13"/>
      <c r="H27" s="13"/>
      <c r="I27" s="13"/>
      <c r="J27" s="13"/>
      <c r="K27" s="14"/>
    </row>
    <row r="28" customFormat="false" ht="15" hidden="false" customHeight="true" outlineLevel="0" collapsed="false">
      <c r="A28" s="13"/>
      <c r="B28" s="13"/>
      <c r="C28" s="13"/>
      <c r="D28" s="13"/>
      <c r="E28" s="13"/>
      <c r="F28" s="13"/>
      <c r="G28" s="13"/>
      <c r="H28" s="13"/>
      <c r="I28" s="13"/>
      <c r="J28" s="13"/>
      <c r="K28" s="14"/>
    </row>
    <row r="29" customFormat="false" ht="15" hidden="false" customHeight="true" outlineLevel="0" collapsed="false">
      <c r="A29" s="13"/>
      <c r="B29" s="13"/>
      <c r="C29" s="13"/>
      <c r="D29" s="13"/>
      <c r="E29" s="13"/>
      <c r="F29" s="13"/>
      <c r="G29" s="13"/>
      <c r="H29" s="13"/>
      <c r="I29" s="13"/>
      <c r="J29" s="13"/>
      <c r="K29" s="14"/>
    </row>
    <row r="30" customFormat="false" ht="15" hidden="false" customHeight="true" outlineLevel="0" collapsed="false">
      <c r="A30" s="13"/>
      <c r="B30" s="13"/>
      <c r="C30" s="13"/>
      <c r="D30" s="13"/>
      <c r="E30" s="13"/>
      <c r="F30" s="13"/>
      <c r="G30" s="13"/>
      <c r="H30" s="13"/>
      <c r="I30" s="13"/>
      <c r="J30" s="13"/>
      <c r="K30" s="14"/>
    </row>
    <row r="31" customFormat="false" ht="15" hidden="false" customHeight="true" outlineLevel="0" collapsed="false">
      <c r="A31" s="13"/>
      <c r="B31" s="13"/>
      <c r="C31" s="13"/>
      <c r="D31" s="13"/>
      <c r="E31" s="13"/>
      <c r="F31" s="13"/>
      <c r="G31" s="13"/>
      <c r="H31" s="13"/>
      <c r="I31" s="13"/>
      <c r="J31" s="13"/>
      <c r="K31" s="14"/>
    </row>
    <row r="32" customFormat="false" ht="15" hidden="false" customHeight="true" outlineLevel="0" collapsed="false">
      <c r="A32" s="13"/>
      <c r="B32" s="13"/>
      <c r="C32" s="13"/>
      <c r="D32" s="13"/>
      <c r="E32" s="13"/>
      <c r="F32" s="13"/>
      <c r="G32" s="13"/>
      <c r="H32" s="13"/>
      <c r="I32" s="13"/>
      <c r="J32" s="13"/>
      <c r="K32" s="14"/>
    </row>
    <row r="33" customFormat="false" ht="15" hidden="false" customHeight="true" outlineLevel="0" collapsed="false">
      <c r="A33" s="13"/>
      <c r="B33" s="13"/>
      <c r="C33" s="13"/>
      <c r="D33" s="13"/>
      <c r="E33" s="13"/>
      <c r="F33" s="13"/>
      <c r="G33" s="13"/>
      <c r="H33" s="13"/>
      <c r="I33" s="13"/>
      <c r="J33" s="13"/>
      <c r="K33" s="14"/>
    </row>
    <row r="34" customFormat="false" ht="15" hidden="false" customHeight="true" outlineLevel="0" collapsed="false">
      <c r="A34" s="13"/>
      <c r="B34" s="13"/>
      <c r="C34" s="13"/>
      <c r="D34" s="13"/>
      <c r="E34" s="13"/>
      <c r="F34" s="13"/>
      <c r="G34" s="13"/>
      <c r="H34" s="13"/>
      <c r="I34" s="13"/>
      <c r="J34" s="13"/>
      <c r="K34" s="14"/>
    </row>
    <row r="35" customFormat="false" ht="15" hidden="false" customHeight="true" outlineLevel="0" collapsed="false">
      <c r="A35" s="13"/>
      <c r="B35" s="13"/>
      <c r="C35" s="13"/>
      <c r="D35" s="13"/>
      <c r="E35" s="13"/>
      <c r="F35" s="13"/>
      <c r="G35" s="13"/>
      <c r="H35" s="13"/>
      <c r="I35" s="13"/>
      <c r="J35" s="13"/>
      <c r="K35" s="14"/>
    </row>
    <row r="36" customFormat="false" ht="15" hidden="false" customHeight="true" outlineLevel="0" collapsed="false">
      <c r="A36" s="13"/>
      <c r="B36" s="13"/>
      <c r="C36" s="13"/>
      <c r="D36" s="13"/>
      <c r="E36" s="13"/>
      <c r="F36" s="13"/>
      <c r="G36" s="13"/>
      <c r="H36" s="13"/>
      <c r="I36" s="13"/>
      <c r="J36" s="13"/>
      <c r="K36" s="14"/>
    </row>
    <row r="37" customFormat="false" ht="15" hidden="false" customHeight="true" outlineLevel="0" collapsed="false">
      <c r="A37" s="13"/>
      <c r="B37" s="13"/>
      <c r="C37" s="13"/>
      <c r="D37" s="13"/>
      <c r="E37" s="13"/>
      <c r="F37" s="13"/>
      <c r="G37" s="13"/>
      <c r="H37" s="13"/>
      <c r="I37" s="13"/>
      <c r="J37" s="13"/>
      <c r="K37" s="14"/>
    </row>
    <row r="38" customFormat="false" ht="15" hidden="false" customHeight="true" outlineLevel="0" collapsed="false">
      <c r="A38" s="13"/>
      <c r="B38" s="13"/>
      <c r="C38" s="13"/>
      <c r="D38" s="13"/>
      <c r="E38" s="13"/>
      <c r="F38" s="13"/>
      <c r="G38" s="13"/>
      <c r="H38" s="13"/>
      <c r="I38" s="13"/>
      <c r="J38" s="13"/>
      <c r="K38" s="14"/>
    </row>
    <row r="39" customFormat="false" ht="15" hidden="false" customHeight="true" outlineLevel="0" collapsed="false">
      <c r="A39" s="13"/>
      <c r="B39" s="13"/>
      <c r="C39" s="13"/>
      <c r="D39" s="13"/>
      <c r="E39" s="13"/>
      <c r="F39" s="13"/>
      <c r="G39" s="13"/>
      <c r="H39" s="13"/>
      <c r="I39" s="13"/>
      <c r="J39" s="13"/>
      <c r="K39" s="14"/>
    </row>
    <row r="40" customFormat="false" ht="15" hidden="false" customHeight="true" outlineLevel="0" collapsed="false">
      <c r="A40" s="13"/>
      <c r="B40" s="13"/>
      <c r="C40" s="13"/>
      <c r="D40" s="13"/>
      <c r="E40" s="13"/>
      <c r="F40" s="13"/>
      <c r="G40" s="13"/>
      <c r="H40" s="13"/>
      <c r="I40" s="13"/>
      <c r="J40" s="13"/>
      <c r="K40" s="14"/>
    </row>
    <row r="41" customFormat="false" ht="15" hidden="false" customHeight="true" outlineLevel="0" collapsed="false">
      <c r="A41" s="13"/>
      <c r="B41" s="13"/>
      <c r="C41" s="13"/>
      <c r="D41" s="13"/>
      <c r="E41" s="13"/>
      <c r="F41" s="13"/>
      <c r="G41" s="13"/>
      <c r="H41" s="13"/>
      <c r="I41" s="13"/>
      <c r="J41" s="13"/>
      <c r="K41" s="14"/>
    </row>
    <row r="42" customFormat="false" ht="15" hidden="false" customHeight="true" outlineLevel="0" collapsed="false">
      <c r="A42" s="13"/>
      <c r="B42" s="13"/>
      <c r="C42" s="13"/>
      <c r="D42" s="13"/>
      <c r="E42" s="13"/>
      <c r="F42" s="13"/>
      <c r="G42" s="13"/>
      <c r="H42" s="13"/>
      <c r="I42" s="13"/>
      <c r="J42" s="13"/>
      <c r="K42" s="14"/>
    </row>
    <row r="43" customFormat="false" ht="15" hidden="false" customHeight="true" outlineLevel="0" collapsed="false">
      <c r="A43" s="13"/>
      <c r="B43" s="13"/>
      <c r="C43" s="13"/>
      <c r="D43" s="13"/>
      <c r="E43" s="13"/>
      <c r="F43" s="13"/>
      <c r="G43" s="13"/>
      <c r="H43" s="13"/>
      <c r="I43" s="13"/>
      <c r="J43" s="13"/>
      <c r="K43" s="14"/>
    </row>
    <row r="44" customFormat="false" ht="15" hidden="false" customHeight="true" outlineLevel="0" collapsed="false">
      <c r="A44" s="13"/>
      <c r="B44" s="13"/>
      <c r="C44" s="13"/>
      <c r="D44" s="13"/>
      <c r="E44" s="13"/>
      <c r="F44" s="13"/>
      <c r="G44" s="13"/>
      <c r="H44" s="13"/>
      <c r="I44" s="13"/>
      <c r="J44" s="13"/>
      <c r="K44" s="14"/>
    </row>
    <row r="45" customFormat="false" ht="15" hidden="false" customHeight="true" outlineLevel="0" collapsed="false">
      <c r="A45" s="13"/>
      <c r="B45" s="13"/>
      <c r="C45" s="13"/>
      <c r="D45" s="13"/>
      <c r="E45" s="13"/>
      <c r="F45" s="13"/>
      <c r="G45" s="13"/>
      <c r="H45" s="13"/>
      <c r="I45" s="13"/>
      <c r="J45" s="13"/>
      <c r="K45" s="14"/>
    </row>
    <row r="46" customFormat="false" ht="15" hidden="false" customHeight="true" outlineLevel="0" collapsed="false">
      <c r="A46" s="13"/>
      <c r="B46" s="13"/>
      <c r="C46" s="13"/>
      <c r="D46" s="13"/>
      <c r="E46" s="13"/>
      <c r="F46" s="13"/>
      <c r="G46" s="13"/>
      <c r="H46" s="13"/>
      <c r="I46" s="13"/>
      <c r="J46" s="13"/>
      <c r="K46" s="14"/>
    </row>
    <row r="47" customFormat="false" ht="15" hidden="false" customHeight="true" outlineLevel="0" collapsed="false">
      <c r="A47" s="13"/>
      <c r="B47" s="13"/>
      <c r="C47" s="13"/>
      <c r="D47" s="13"/>
      <c r="E47" s="13"/>
      <c r="F47" s="13"/>
      <c r="G47" s="13"/>
      <c r="H47" s="13"/>
      <c r="I47" s="13"/>
      <c r="J47" s="13"/>
      <c r="K47" s="14"/>
    </row>
    <row r="48" customFormat="false" ht="15" hidden="false" customHeight="true" outlineLevel="0" collapsed="false">
      <c r="A48" s="13"/>
      <c r="B48" s="13"/>
      <c r="C48" s="13"/>
      <c r="D48" s="13"/>
      <c r="E48" s="13"/>
      <c r="F48" s="13"/>
      <c r="G48" s="13"/>
      <c r="H48" s="13"/>
      <c r="I48" s="13"/>
      <c r="J48" s="13"/>
      <c r="K48" s="14"/>
    </row>
    <row r="49" customFormat="false" ht="15" hidden="false" customHeight="true" outlineLevel="0" collapsed="false">
      <c r="A49" s="13"/>
      <c r="B49" s="13"/>
      <c r="C49" s="13"/>
      <c r="D49" s="13"/>
      <c r="E49" s="13"/>
      <c r="F49" s="13"/>
      <c r="G49" s="13"/>
      <c r="H49" s="13"/>
      <c r="I49" s="13"/>
      <c r="J49" s="13"/>
      <c r="K49" s="14"/>
    </row>
    <row r="50" customFormat="false" ht="15" hidden="false" customHeight="true" outlineLevel="0" collapsed="false">
      <c r="A50" s="13"/>
      <c r="B50" s="13"/>
      <c r="C50" s="13"/>
      <c r="D50" s="13"/>
      <c r="E50" s="13"/>
      <c r="F50" s="13"/>
      <c r="G50" s="13"/>
      <c r="H50" s="13"/>
      <c r="I50" s="13"/>
      <c r="J50" s="13"/>
      <c r="K50" s="14"/>
    </row>
    <row r="51" customFormat="false" ht="15" hidden="false" customHeight="true" outlineLevel="0" collapsed="false">
      <c r="A51" s="13"/>
      <c r="B51" s="13"/>
      <c r="C51" s="13"/>
      <c r="D51" s="13"/>
      <c r="E51" s="13"/>
      <c r="F51" s="13"/>
      <c r="G51" s="13"/>
      <c r="H51" s="13"/>
      <c r="I51" s="13"/>
      <c r="J51" s="13"/>
      <c r="K51" s="14"/>
    </row>
    <row r="52" customFormat="false" ht="15" hidden="false" customHeight="true" outlineLevel="0" collapsed="false">
      <c r="A52" s="13"/>
      <c r="B52" s="13"/>
      <c r="C52" s="13"/>
      <c r="D52" s="13"/>
      <c r="E52" s="13"/>
      <c r="F52" s="13"/>
      <c r="G52" s="13"/>
      <c r="H52" s="13"/>
      <c r="I52" s="13"/>
      <c r="J52" s="13"/>
      <c r="K52" s="14"/>
    </row>
    <row r="53" customFormat="false" ht="15" hidden="false" customHeight="true" outlineLevel="0" collapsed="false">
      <c r="A53" s="13"/>
      <c r="B53" s="13"/>
      <c r="C53" s="13"/>
      <c r="D53" s="13"/>
      <c r="E53" s="13"/>
      <c r="F53" s="13"/>
      <c r="G53" s="13"/>
      <c r="H53" s="13"/>
      <c r="I53" s="13"/>
      <c r="J53" s="13"/>
      <c r="K53" s="14"/>
    </row>
    <row r="54" customFormat="false" ht="15" hidden="false" customHeight="true" outlineLevel="0" collapsed="false">
      <c r="A54" s="13"/>
      <c r="B54" s="13"/>
      <c r="C54" s="13"/>
      <c r="D54" s="13"/>
      <c r="E54" s="13"/>
      <c r="F54" s="13"/>
      <c r="G54" s="13"/>
      <c r="H54" s="13"/>
      <c r="I54" s="13"/>
      <c r="J54" s="13"/>
      <c r="K54" s="14"/>
    </row>
    <row r="55" customFormat="false" ht="15" hidden="false" customHeight="true" outlineLevel="0" collapsed="false">
      <c r="A55" s="13"/>
      <c r="B55" s="13"/>
      <c r="C55" s="13"/>
      <c r="D55" s="13"/>
      <c r="E55" s="13"/>
      <c r="F55" s="13"/>
      <c r="G55" s="13"/>
      <c r="H55" s="13"/>
      <c r="I55" s="13"/>
      <c r="J55" s="13"/>
      <c r="K55" s="14"/>
    </row>
    <row r="56" customFormat="false" ht="15" hidden="false" customHeight="true" outlineLevel="0" collapsed="false">
      <c r="A56" s="13"/>
      <c r="B56" s="13"/>
      <c r="C56" s="13"/>
      <c r="D56" s="13"/>
      <c r="E56" s="13"/>
      <c r="F56" s="13"/>
      <c r="G56" s="13"/>
      <c r="H56" s="13"/>
      <c r="I56" s="13"/>
      <c r="J56" s="13"/>
      <c r="K56" s="14"/>
    </row>
    <row r="57" customFormat="false" ht="15" hidden="false" customHeight="true" outlineLevel="0" collapsed="false">
      <c r="A57" s="13"/>
      <c r="B57" s="13"/>
      <c r="C57" s="13"/>
      <c r="D57" s="13"/>
      <c r="E57" s="13"/>
      <c r="F57" s="13"/>
      <c r="G57" s="13"/>
      <c r="H57" s="13"/>
      <c r="I57" s="13"/>
      <c r="J57" s="13"/>
      <c r="K57" s="14"/>
    </row>
    <row r="58" customFormat="false" ht="15" hidden="false" customHeight="true" outlineLevel="0" collapsed="false">
      <c r="A58" s="13"/>
      <c r="B58" s="13"/>
      <c r="C58" s="13"/>
      <c r="D58" s="13"/>
      <c r="E58" s="13"/>
      <c r="F58" s="13"/>
      <c r="G58" s="13"/>
      <c r="H58" s="13"/>
      <c r="I58" s="13"/>
      <c r="J58" s="13"/>
      <c r="K58" s="14"/>
    </row>
    <row r="59" customFormat="false" ht="15" hidden="false" customHeight="true" outlineLevel="0" collapsed="false">
      <c r="A59" s="13"/>
      <c r="B59" s="13"/>
      <c r="C59" s="13"/>
      <c r="D59" s="13"/>
      <c r="E59" s="13"/>
      <c r="F59" s="13"/>
      <c r="G59" s="13"/>
      <c r="H59" s="13"/>
      <c r="I59" s="13"/>
      <c r="J59" s="13"/>
      <c r="K59" s="14"/>
    </row>
    <row r="60" customFormat="false" ht="15" hidden="false" customHeight="true" outlineLevel="0" collapsed="false">
      <c r="A60" s="13"/>
      <c r="B60" s="13"/>
      <c r="C60" s="13"/>
      <c r="D60" s="13"/>
      <c r="E60" s="13"/>
      <c r="F60" s="13"/>
      <c r="G60" s="13"/>
      <c r="H60" s="13"/>
      <c r="I60" s="13"/>
      <c r="J60" s="13"/>
      <c r="K60" s="14"/>
    </row>
    <row r="61" customFormat="false" ht="15" hidden="false" customHeight="true" outlineLevel="0" collapsed="false">
      <c r="A61" s="13"/>
      <c r="B61" s="13"/>
      <c r="C61" s="13"/>
      <c r="D61" s="13"/>
      <c r="E61" s="13"/>
      <c r="F61" s="13"/>
      <c r="G61" s="13"/>
      <c r="H61" s="13"/>
      <c r="I61" s="13"/>
      <c r="J61" s="13"/>
      <c r="K61" s="14"/>
    </row>
    <row r="62" customFormat="false" ht="15" hidden="false" customHeight="true" outlineLevel="0" collapsed="false">
      <c r="A62" s="13"/>
      <c r="B62" s="13"/>
      <c r="C62" s="13"/>
      <c r="D62" s="13"/>
      <c r="E62" s="13"/>
      <c r="F62" s="13"/>
      <c r="G62" s="13"/>
      <c r="H62" s="13"/>
      <c r="I62" s="13"/>
      <c r="J62" s="13"/>
      <c r="K62" s="14"/>
    </row>
    <row r="63" customFormat="false" ht="15" hidden="false" customHeight="true" outlineLevel="0" collapsed="false">
      <c r="A63" s="13"/>
      <c r="B63" s="13"/>
      <c r="C63" s="13"/>
      <c r="D63" s="13"/>
      <c r="E63" s="13"/>
      <c r="F63" s="13"/>
      <c r="G63" s="13"/>
      <c r="H63" s="13"/>
      <c r="I63" s="13"/>
      <c r="J63" s="13"/>
      <c r="K63" s="14"/>
    </row>
    <row r="64" customFormat="false" ht="15" hidden="false" customHeight="true" outlineLevel="0" collapsed="false">
      <c r="A64" s="13"/>
      <c r="B64" s="13"/>
      <c r="C64" s="13"/>
      <c r="D64" s="13"/>
      <c r="E64" s="13"/>
      <c r="F64" s="13"/>
      <c r="G64" s="13"/>
      <c r="H64" s="13"/>
      <c r="I64" s="13"/>
      <c r="J64" s="13"/>
      <c r="K64" s="14"/>
    </row>
    <row r="65" customFormat="false" ht="15" hidden="false" customHeight="true" outlineLevel="0" collapsed="false">
      <c r="A65" s="13"/>
      <c r="B65" s="13"/>
      <c r="C65" s="13"/>
      <c r="D65" s="13"/>
      <c r="E65" s="13"/>
      <c r="F65" s="13"/>
      <c r="G65" s="13"/>
      <c r="H65" s="13"/>
      <c r="I65" s="13"/>
      <c r="J65" s="13"/>
      <c r="K65" s="14"/>
    </row>
    <row r="66" customFormat="false" ht="15" hidden="false" customHeight="true" outlineLevel="0" collapsed="false">
      <c r="A66" s="13"/>
      <c r="B66" s="13"/>
      <c r="C66" s="13"/>
      <c r="D66" s="13"/>
      <c r="E66" s="13"/>
      <c r="F66" s="13"/>
      <c r="G66" s="13"/>
      <c r="H66" s="13"/>
      <c r="I66" s="13"/>
      <c r="J66" s="13"/>
      <c r="K66" s="14"/>
    </row>
    <row r="67" customFormat="false" ht="15" hidden="false" customHeight="true" outlineLevel="0" collapsed="false">
      <c r="A67" s="13"/>
      <c r="B67" s="13"/>
      <c r="C67" s="13"/>
      <c r="D67" s="13"/>
      <c r="E67" s="13"/>
      <c r="F67" s="13"/>
      <c r="G67" s="13"/>
      <c r="H67" s="13"/>
      <c r="I67" s="13"/>
      <c r="J67" s="13"/>
      <c r="K67" s="14"/>
    </row>
    <row r="68" customFormat="false" ht="15" hidden="false" customHeight="true" outlineLevel="0" collapsed="false">
      <c r="A68" s="13"/>
      <c r="B68" s="13"/>
      <c r="C68" s="13"/>
      <c r="D68" s="13"/>
      <c r="E68" s="13"/>
      <c r="F68" s="13"/>
      <c r="G68" s="13"/>
      <c r="H68" s="13"/>
      <c r="I68" s="13"/>
      <c r="J68" s="13"/>
      <c r="K68" s="14"/>
    </row>
    <row r="69" customFormat="false" ht="15" hidden="false" customHeight="true" outlineLevel="0" collapsed="false">
      <c r="A69" s="13"/>
      <c r="B69" s="13"/>
      <c r="C69" s="13"/>
      <c r="D69" s="13"/>
      <c r="E69" s="13"/>
      <c r="F69" s="13"/>
      <c r="G69" s="13"/>
      <c r="H69" s="13"/>
      <c r="I69" s="13"/>
      <c r="J69" s="13"/>
      <c r="K69" s="14"/>
    </row>
    <row r="70" customFormat="false" ht="15" hidden="false" customHeight="true" outlineLevel="0" collapsed="false">
      <c r="A70" s="13"/>
      <c r="B70" s="13"/>
      <c r="C70" s="13"/>
      <c r="D70" s="13"/>
      <c r="E70" s="13"/>
      <c r="F70" s="13"/>
      <c r="G70" s="13"/>
      <c r="H70" s="13"/>
      <c r="I70" s="13"/>
      <c r="J70" s="13"/>
      <c r="K70" s="14"/>
    </row>
    <row r="71" customFormat="false" ht="15" hidden="false" customHeight="true" outlineLevel="0" collapsed="false">
      <c r="A71" s="13"/>
      <c r="B71" s="13"/>
      <c r="C71" s="13"/>
      <c r="D71" s="13"/>
      <c r="E71" s="13"/>
      <c r="F71" s="13"/>
      <c r="G71" s="13"/>
      <c r="H71" s="13"/>
      <c r="I71" s="13"/>
      <c r="J71" s="13"/>
      <c r="K71" s="14"/>
    </row>
    <row r="72" customFormat="false" ht="15" hidden="false" customHeight="true" outlineLevel="0" collapsed="false">
      <c r="A72" s="13"/>
      <c r="B72" s="13"/>
      <c r="C72" s="13"/>
      <c r="D72" s="13"/>
      <c r="E72" s="13"/>
      <c r="F72" s="13"/>
      <c r="G72" s="13"/>
      <c r="H72" s="13"/>
      <c r="I72" s="13"/>
      <c r="J72" s="13"/>
      <c r="K72" s="14"/>
    </row>
    <row r="73" customFormat="false" ht="15" hidden="false" customHeight="true" outlineLevel="0" collapsed="false">
      <c r="A73" s="13"/>
      <c r="B73" s="13"/>
      <c r="C73" s="13"/>
      <c r="D73" s="13"/>
      <c r="E73" s="13"/>
      <c r="F73" s="13"/>
      <c r="G73" s="13"/>
      <c r="H73" s="13"/>
      <c r="I73" s="13"/>
      <c r="J73" s="13"/>
      <c r="K73" s="14"/>
    </row>
    <row r="74" customFormat="false" ht="15" hidden="false" customHeight="true" outlineLevel="0" collapsed="false">
      <c r="A74" s="13"/>
      <c r="B74" s="13"/>
      <c r="C74" s="13"/>
      <c r="D74" s="13"/>
      <c r="E74" s="13"/>
      <c r="F74" s="13"/>
      <c r="G74" s="13"/>
      <c r="H74" s="13"/>
      <c r="I74" s="13"/>
      <c r="J74" s="13"/>
      <c r="K74" s="14"/>
    </row>
    <row r="75" customFormat="false" ht="15" hidden="false" customHeight="true" outlineLevel="0" collapsed="false">
      <c r="A75" s="13"/>
      <c r="B75" s="13"/>
      <c r="C75" s="13"/>
      <c r="D75" s="13"/>
      <c r="E75" s="13"/>
      <c r="F75" s="13"/>
      <c r="G75" s="13"/>
      <c r="H75" s="13"/>
      <c r="I75" s="13"/>
      <c r="J75" s="13"/>
      <c r="K75" s="14"/>
    </row>
    <row r="76" customFormat="false" ht="15" hidden="false" customHeight="true" outlineLevel="0" collapsed="false">
      <c r="A76" s="13"/>
      <c r="B76" s="13"/>
      <c r="C76" s="13"/>
      <c r="D76" s="13"/>
      <c r="E76" s="13"/>
      <c r="F76" s="13"/>
      <c r="G76" s="13"/>
      <c r="H76" s="13"/>
      <c r="I76" s="13"/>
      <c r="J76" s="13"/>
      <c r="K76" s="14"/>
    </row>
    <row r="77" customFormat="false" ht="15" hidden="false" customHeight="true" outlineLevel="0" collapsed="false">
      <c r="A77" s="13"/>
      <c r="B77" s="13"/>
      <c r="C77" s="13"/>
      <c r="D77" s="13"/>
      <c r="E77" s="13"/>
      <c r="F77" s="13"/>
      <c r="G77" s="13"/>
      <c r="H77" s="13"/>
      <c r="I77" s="13"/>
      <c r="J77" s="13"/>
      <c r="K77" s="14"/>
    </row>
    <row r="78" customFormat="false" ht="15" hidden="false" customHeight="true" outlineLevel="0" collapsed="false">
      <c r="A78" s="13"/>
      <c r="B78" s="13"/>
      <c r="C78" s="13"/>
      <c r="D78" s="13"/>
      <c r="E78" s="13"/>
      <c r="F78" s="13"/>
      <c r="G78" s="13"/>
      <c r="H78" s="13"/>
      <c r="I78" s="13"/>
      <c r="J78" s="13"/>
      <c r="K78" s="14"/>
    </row>
    <row r="79" customFormat="false" ht="15" hidden="false" customHeight="true" outlineLevel="0" collapsed="false">
      <c r="A79" s="13"/>
      <c r="B79" s="13"/>
      <c r="C79" s="13"/>
      <c r="D79" s="13"/>
      <c r="E79" s="13"/>
      <c r="F79" s="13"/>
      <c r="G79" s="13"/>
      <c r="H79" s="13"/>
      <c r="I79" s="13"/>
      <c r="J79" s="13"/>
      <c r="K79" s="14"/>
    </row>
    <row r="80" customFormat="false" ht="15" hidden="false" customHeight="true" outlineLevel="0" collapsed="false">
      <c r="A80" s="13"/>
      <c r="B80" s="13"/>
      <c r="C80" s="13"/>
      <c r="D80" s="13"/>
      <c r="E80" s="13"/>
      <c r="F80" s="13"/>
      <c r="G80" s="13"/>
      <c r="H80" s="13"/>
      <c r="I80" s="13"/>
      <c r="J80" s="13"/>
      <c r="K80" s="14"/>
    </row>
    <row r="81" customFormat="false" ht="15" hidden="false" customHeight="true" outlineLevel="0" collapsed="false">
      <c r="A81" s="13"/>
      <c r="B81" s="13"/>
      <c r="C81" s="13"/>
      <c r="D81" s="13"/>
      <c r="E81" s="13"/>
      <c r="F81" s="13"/>
      <c r="G81" s="13"/>
      <c r="H81" s="13"/>
      <c r="I81" s="13"/>
      <c r="J81" s="13"/>
      <c r="K81" s="14"/>
    </row>
    <row r="82" customFormat="false" ht="15" hidden="false" customHeight="true" outlineLevel="0" collapsed="false">
      <c r="A82" s="13"/>
      <c r="B82" s="13"/>
      <c r="C82" s="13"/>
      <c r="D82" s="13"/>
      <c r="E82" s="13"/>
      <c r="F82" s="13"/>
      <c r="G82" s="13"/>
      <c r="H82" s="13"/>
      <c r="I82" s="13"/>
      <c r="J82" s="13"/>
      <c r="K82" s="14"/>
    </row>
    <row r="83" customFormat="false" ht="15" hidden="false" customHeight="true" outlineLevel="0" collapsed="false">
      <c r="A83" s="13"/>
      <c r="B83" s="13"/>
      <c r="C83" s="13"/>
      <c r="D83" s="13"/>
      <c r="E83" s="13"/>
      <c r="F83" s="13"/>
      <c r="G83" s="13"/>
      <c r="H83" s="13"/>
      <c r="I83" s="13"/>
      <c r="J83" s="13"/>
      <c r="K83" s="14"/>
    </row>
    <row r="84" customFormat="false" ht="15" hidden="false" customHeight="true" outlineLevel="0" collapsed="false">
      <c r="A84" s="13"/>
      <c r="B84" s="13"/>
      <c r="C84" s="13"/>
      <c r="D84" s="13"/>
      <c r="E84" s="13"/>
      <c r="F84" s="13"/>
      <c r="G84" s="13"/>
      <c r="H84" s="13"/>
      <c r="I84" s="13"/>
      <c r="J84" s="13"/>
      <c r="K84" s="14"/>
    </row>
    <row r="85" customFormat="false" ht="15" hidden="false" customHeight="true" outlineLevel="0" collapsed="false">
      <c r="A85" s="13"/>
      <c r="B85" s="13"/>
      <c r="C85" s="13"/>
      <c r="D85" s="13"/>
      <c r="E85" s="13"/>
      <c r="F85" s="13"/>
      <c r="G85" s="13"/>
      <c r="H85" s="13"/>
      <c r="I85" s="13"/>
      <c r="J85" s="13"/>
      <c r="K85" s="14"/>
    </row>
    <row r="86" customFormat="false" ht="15" hidden="false" customHeight="true" outlineLevel="0" collapsed="false">
      <c r="A86" s="13"/>
      <c r="B86" s="13"/>
      <c r="C86" s="13"/>
      <c r="D86" s="13"/>
      <c r="E86" s="13"/>
      <c r="F86" s="13"/>
      <c r="G86" s="13"/>
      <c r="H86" s="13"/>
      <c r="I86" s="13"/>
      <c r="J86" s="13"/>
      <c r="K86" s="14"/>
    </row>
    <row r="87" customFormat="false" ht="15" hidden="false" customHeight="true" outlineLevel="0" collapsed="false">
      <c r="A87" s="13"/>
      <c r="B87" s="13"/>
      <c r="C87" s="13"/>
      <c r="D87" s="13"/>
      <c r="E87" s="13"/>
      <c r="F87" s="13"/>
      <c r="G87" s="13"/>
      <c r="H87" s="13"/>
      <c r="I87" s="13"/>
      <c r="J87" s="13"/>
      <c r="K87" s="14"/>
    </row>
    <row r="88" customFormat="false" ht="15" hidden="false" customHeight="true" outlineLevel="0" collapsed="false">
      <c r="A88" s="13"/>
      <c r="B88" s="13"/>
      <c r="C88" s="13"/>
      <c r="D88" s="13"/>
      <c r="E88" s="13"/>
      <c r="F88" s="13"/>
      <c r="G88" s="13"/>
      <c r="H88" s="13"/>
      <c r="I88" s="13"/>
      <c r="J88" s="13"/>
      <c r="K88" s="14"/>
    </row>
    <row r="89" customFormat="false" ht="15" hidden="false" customHeight="true" outlineLevel="0" collapsed="false">
      <c r="A89" s="13"/>
      <c r="B89" s="13"/>
      <c r="C89" s="13"/>
      <c r="D89" s="13"/>
      <c r="E89" s="13"/>
      <c r="F89" s="13"/>
      <c r="G89" s="13"/>
      <c r="H89" s="13"/>
      <c r="I89" s="13"/>
      <c r="J89" s="13"/>
      <c r="K89" s="14"/>
    </row>
    <row r="90" customFormat="false" ht="15" hidden="false" customHeight="true" outlineLevel="0" collapsed="false">
      <c r="A90" s="13"/>
      <c r="B90" s="13"/>
      <c r="C90" s="13"/>
      <c r="D90" s="13"/>
      <c r="E90" s="13"/>
      <c r="F90" s="13"/>
      <c r="G90" s="13"/>
      <c r="H90" s="13"/>
      <c r="I90" s="13"/>
      <c r="J90" s="13"/>
      <c r="K90" s="14"/>
    </row>
    <row r="91" customFormat="false" ht="15" hidden="false" customHeight="true" outlineLevel="0" collapsed="false">
      <c r="A91" s="13"/>
      <c r="B91" s="13"/>
      <c r="C91" s="13"/>
      <c r="D91" s="13"/>
      <c r="E91" s="13"/>
      <c r="F91" s="13"/>
      <c r="G91" s="13"/>
      <c r="H91" s="13"/>
      <c r="I91" s="13"/>
      <c r="J91" s="13"/>
      <c r="K91" s="14"/>
    </row>
    <row r="92" customFormat="false" ht="15" hidden="false" customHeight="true" outlineLevel="0" collapsed="false">
      <c r="A92" s="13"/>
      <c r="B92" s="13"/>
      <c r="C92" s="13"/>
      <c r="D92" s="13"/>
      <c r="E92" s="13"/>
      <c r="F92" s="13"/>
      <c r="G92" s="13"/>
      <c r="H92" s="13"/>
      <c r="I92" s="13"/>
      <c r="J92" s="13"/>
      <c r="K92" s="14"/>
    </row>
    <row r="93" customFormat="false" ht="15" hidden="false" customHeight="true" outlineLevel="0" collapsed="false">
      <c r="A93" s="13"/>
      <c r="B93" s="13"/>
      <c r="C93" s="13"/>
      <c r="D93" s="13"/>
      <c r="E93" s="13"/>
      <c r="F93" s="13"/>
      <c r="G93" s="13"/>
      <c r="H93" s="13"/>
      <c r="I93" s="13"/>
      <c r="J93" s="13"/>
      <c r="K93" s="14"/>
    </row>
    <row r="94" customFormat="false" ht="15" hidden="false" customHeight="true" outlineLevel="0" collapsed="false">
      <c r="A94" s="13"/>
      <c r="B94" s="13"/>
      <c r="C94" s="13"/>
      <c r="D94" s="13"/>
      <c r="E94" s="13"/>
      <c r="F94" s="13"/>
      <c r="G94" s="13"/>
      <c r="H94" s="13"/>
      <c r="I94" s="13"/>
      <c r="J94" s="13"/>
      <c r="K94" s="14"/>
    </row>
    <row r="95" customFormat="false" ht="15" hidden="false" customHeight="true" outlineLevel="0" collapsed="false">
      <c r="A95" s="13"/>
      <c r="B95" s="13"/>
      <c r="C95" s="13"/>
      <c r="D95" s="13"/>
      <c r="E95" s="13"/>
      <c r="F95" s="13"/>
      <c r="G95" s="13"/>
      <c r="H95" s="13"/>
      <c r="I95" s="13"/>
      <c r="J95" s="13"/>
      <c r="K95" s="14"/>
    </row>
    <row r="96" customFormat="false" ht="15" hidden="false" customHeight="true" outlineLevel="0" collapsed="false">
      <c r="A96" s="13"/>
      <c r="B96" s="13"/>
      <c r="C96" s="13"/>
      <c r="D96" s="13"/>
      <c r="E96" s="13"/>
      <c r="F96" s="13"/>
      <c r="G96" s="13"/>
      <c r="H96" s="13"/>
      <c r="I96" s="13"/>
      <c r="J96" s="13"/>
      <c r="K96" s="14"/>
    </row>
    <row r="97" customFormat="false" ht="15" hidden="false" customHeight="true" outlineLevel="0" collapsed="false">
      <c r="A97" s="13"/>
      <c r="B97" s="13"/>
      <c r="C97" s="13"/>
      <c r="D97" s="13"/>
      <c r="E97" s="13"/>
      <c r="F97" s="13"/>
      <c r="G97" s="13"/>
      <c r="H97" s="13"/>
      <c r="I97" s="13"/>
      <c r="J97" s="13"/>
      <c r="K97" s="14"/>
    </row>
    <row r="98" customFormat="false" ht="15" hidden="false" customHeight="true" outlineLevel="0" collapsed="false">
      <c r="A98" s="13"/>
      <c r="B98" s="13"/>
      <c r="C98" s="13"/>
      <c r="D98" s="13"/>
      <c r="E98" s="13"/>
      <c r="F98" s="13"/>
      <c r="G98" s="13"/>
      <c r="H98" s="13"/>
      <c r="I98" s="13"/>
      <c r="J98" s="13"/>
      <c r="K98" s="14"/>
    </row>
    <row r="99" customFormat="false" ht="15" hidden="false" customHeight="true" outlineLevel="0" collapsed="false">
      <c r="A99" s="13"/>
      <c r="B99" s="13"/>
      <c r="C99" s="13"/>
      <c r="D99" s="13"/>
      <c r="E99" s="13"/>
      <c r="F99" s="13"/>
      <c r="G99" s="13"/>
      <c r="H99" s="13"/>
      <c r="I99" s="13"/>
      <c r="J99" s="13"/>
      <c r="K99" s="14"/>
    </row>
    <row r="100" customFormat="false" ht="15" hidden="false" customHeight="true" outlineLevel="0" collapsed="false">
      <c r="A100" s="13"/>
      <c r="B100" s="13"/>
      <c r="C100" s="13"/>
      <c r="D100" s="13"/>
      <c r="E100" s="13"/>
      <c r="F100" s="13"/>
      <c r="G100" s="13"/>
      <c r="H100" s="13"/>
      <c r="I100" s="13"/>
      <c r="J100" s="13"/>
      <c r="K100" s="14"/>
    </row>
    <row r="101" customFormat="false" ht="15" hidden="false" customHeight="true" outlineLevel="0" collapsed="false">
      <c r="A101" s="13"/>
      <c r="B101" s="13"/>
      <c r="C101" s="13"/>
      <c r="D101" s="13"/>
      <c r="E101" s="13"/>
      <c r="F101" s="13"/>
      <c r="G101" s="13"/>
      <c r="H101" s="13"/>
      <c r="I101" s="13"/>
      <c r="J101" s="13"/>
      <c r="K101" s="14"/>
    </row>
    <row r="102" customFormat="false" ht="15" hidden="false" customHeight="true" outlineLevel="0" collapsed="false">
      <c r="A102" s="13"/>
      <c r="B102" s="13"/>
      <c r="C102" s="13"/>
      <c r="D102" s="13"/>
      <c r="E102" s="13"/>
      <c r="F102" s="13"/>
      <c r="G102" s="13"/>
      <c r="H102" s="13"/>
      <c r="I102" s="13"/>
      <c r="J102" s="13"/>
      <c r="K102" s="14"/>
    </row>
    <row r="103" customFormat="false" ht="15" hidden="false" customHeight="true" outlineLevel="0" collapsed="false">
      <c r="A103" s="13"/>
      <c r="B103" s="13"/>
      <c r="C103" s="13"/>
      <c r="D103" s="13"/>
      <c r="E103" s="13"/>
      <c r="F103" s="13"/>
      <c r="G103" s="13"/>
      <c r="H103" s="13"/>
      <c r="I103" s="13"/>
      <c r="J103" s="13"/>
      <c r="K103" s="14"/>
    </row>
    <row r="104" customFormat="false" ht="15" hidden="false" customHeight="true" outlineLevel="0" collapsed="false">
      <c r="A104" s="13"/>
      <c r="B104" s="13"/>
      <c r="C104" s="13"/>
      <c r="D104" s="13"/>
      <c r="E104" s="13"/>
      <c r="F104" s="13"/>
      <c r="G104" s="13"/>
      <c r="H104" s="13"/>
      <c r="I104" s="13"/>
      <c r="J104" s="13"/>
      <c r="K104" s="14"/>
    </row>
    <row r="105" customFormat="false" ht="15" hidden="false" customHeight="true" outlineLevel="0" collapsed="false">
      <c r="A105" s="13"/>
      <c r="B105" s="13"/>
      <c r="C105" s="13"/>
      <c r="D105" s="13"/>
      <c r="E105" s="13"/>
      <c r="F105" s="13"/>
      <c r="G105" s="13"/>
      <c r="H105" s="13"/>
      <c r="I105" s="13"/>
      <c r="J105" s="13"/>
      <c r="K105" s="14"/>
    </row>
    <row r="106" customFormat="false" ht="15" hidden="false" customHeight="true" outlineLevel="0" collapsed="false">
      <c r="A106" s="13"/>
      <c r="B106" s="13"/>
      <c r="C106" s="13"/>
      <c r="D106" s="13"/>
      <c r="E106" s="13"/>
      <c r="F106" s="13"/>
      <c r="G106" s="13"/>
      <c r="H106" s="13"/>
      <c r="I106" s="13"/>
      <c r="J106" s="13"/>
      <c r="K106" s="14"/>
    </row>
    <row r="107" customFormat="false" ht="15" hidden="false" customHeight="true" outlineLevel="0" collapsed="false">
      <c r="A107" s="13"/>
      <c r="B107" s="13"/>
      <c r="C107" s="13"/>
      <c r="D107" s="13"/>
      <c r="E107" s="13"/>
      <c r="F107" s="13"/>
      <c r="G107" s="13"/>
      <c r="H107" s="13"/>
      <c r="I107" s="13"/>
      <c r="J107" s="13"/>
      <c r="K107" s="14"/>
    </row>
    <row r="108" customFormat="false" ht="15" hidden="false" customHeight="true" outlineLevel="0" collapsed="false">
      <c r="A108" s="13"/>
      <c r="B108" s="13"/>
      <c r="C108" s="13"/>
      <c r="D108" s="13"/>
      <c r="E108" s="13"/>
      <c r="F108" s="13"/>
      <c r="G108" s="13"/>
      <c r="H108" s="13"/>
      <c r="I108" s="13"/>
      <c r="J108" s="13"/>
      <c r="K108" s="14"/>
    </row>
    <row r="109" customFormat="false" ht="15" hidden="false" customHeight="true" outlineLevel="0" collapsed="false">
      <c r="A109" s="13"/>
      <c r="B109" s="13"/>
      <c r="C109" s="13"/>
      <c r="D109" s="13"/>
      <c r="E109" s="13"/>
      <c r="F109" s="13"/>
      <c r="G109" s="13"/>
      <c r="H109" s="13"/>
      <c r="I109" s="13"/>
      <c r="J109" s="13"/>
      <c r="K109" s="14"/>
    </row>
    <row r="110" customFormat="false" ht="15" hidden="false" customHeight="true" outlineLevel="0" collapsed="false">
      <c r="A110" s="13"/>
      <c r="B110" s="13"/>
      <c r="C110" s="13"/>
      <c r="D110" s="13"/>
      <c r="E110" s="13"/>
      <c r="F110" s="13"/>
      <c r="G110" s="13"/>
      <c r="H110" s="13"/>
      <c r="I110" s="13"/>
      <c r="J110" s="13"/>
      <c r="K110" s="14"/>
    </row>
    <row r="111" customFormat="false" ht="15" hidden="false" customHeight="true" outlineLevel="0" collapsed="false">
      <c r="A111" s="13"/>
      <c r="B111" s="13"/>
      <c r="C111" s="13"/>
      <c r="D111" s="13"/>
      <c r="E111" s="13"/>
      <c r="F111" s="13"/>
      <c r="G111" s="13"/>
      <c r="H111" s="13"/>
      <c r="I111" s="13"/>
      <c r="J111" s="13"/>
      <c r="K111" s="14"/>
    </row>
    <row r="112" customFormat="false" ht="15" hidden="false" customHeight="true" outlineLevel="0" collapsed="false">
      <c r="A112" s="13"/>
      <c r="B112" s="13"/>
      <c r="C112" s="13"/>
      <c r="D112" s="13"/>
      <c r="E112" s="13"/>
      <c r="F112" s="13"/>
      <c r="G112" s="13"/>
      <c r="H112" s="13"/>
      <c r="I112" s="13"/>
      <c r="J112" s="13"/>
      <c r="K112" s="14"/>
    </row>
    <row r="113" customFormat="false" ht="15" hidden="false" customHeight="true" outlineLevel="0" collapsed="false">
      <c r="A113" s="13"/>
      <c r="B113" s="13"/>
      <c r="C113" s="13"/>
      <c r="D113" s="13"/>
      <c r="E113" s="13"/>
      <c r="F113" s="13"/>
      <c r="G113" s="13"/>
      <c r="H113" s="13"/>
      <c r="I113" s="13"/>
      <c r="J113" s="13"/>
      <c r="K113" s="14"/>
    </row>
    <row r="114" customFormat="false" ht="15" hidden="false" customHeight="true" outlineLevel="0" collapsed="false">
      <c r="A114" s="13"/>
      <c r="B114" s="13"/>
      <c r="C114" s="13"/>
      <c r="D114" s="13"/>
      <c r="E114" s="13"/>
      <c r="F114" s="13"/>
      <c r="G114" s="13"/>
      <c r="H114" s="13"/>
      <c r="I114" s="13"/>
      <c r="J114" s="13"/>
      <c r="K114" s="14"/>
    </row>
    <row r="115" customFormat="false" ht="15" hidden="false" customHeight="true" outlineLevel="0" collapsed="false">
      <c r="A115" s="13"/>
      <c r="B115" s="13"/>
      <c r="C115" s="13"/>
      <c r="D115" s="13"/>
      <c r="E115" s="13"/>
      <c r="F115" s="13"/>
      <c r="G115" s="13"/>
      <c r="H115" s="13"/>
      <c r="I115" s="13"/>
      <c r="J115" s="13"/>
      <c r="K115" s="14"/>
    </row>
    <row r="116" customFormat="false" ht="15" hidden="false" customHeight="true" outlineLevel="0" collapsed="false">
      <c r="A116" s="13"/>
      <c r="B116" s="13"/>
      <c r="C116" s="13"/>
      <c r="D116" s="13"/>
      <c r="E116" s="13"/>
      <c r="F116" s="13"/>
      <c r="G116" s="13"/>
      <c r="H116" s="13"/>
      <c r="I116" s="13"/>
      <c r="J116" s="13"/>
      <c r="K116" s="14"/>
    </row>
    <row r="117" customFormat="false" ht="15" hidden="false" customHeight="true" outlineLevel="0" collapsed="false">
      <c r="A117" s="13"/>
      <c r="B117" s="13"/>
      <c r="C117" s="13"/>
      <c r="D117" s="13"/>
      <c r="E117" s="13"/>
      <c r="F117" s="13"/>
      <c r="G117" s="13"/>
      <c r="H117" s="13"/>
      <c r="I117" s="13"/>
      <c r="J117" s="13"/>
      <c r="K117" s="14"/>
    </row>
    <row r="118" customFormat="false" ht="15" hidden="false" customHeight="true" outlineLevel="0" collapsed="false">
      <c r="A118" s="13"/>
      <c r="B118" s="13"/>
      <c r="C118" s="13"/>
      <c r="D118" s="13"/>
      <c r="E118" s="13"/>
      <c r="F118" s="13"/>
      <c r="G118" s="13"/>
      <c r="H118" s="13"/>
      <c r="I118" s="13"/>
      <c r="J118" s="13"/>
      <c r="K118" s="14"/>
    </row>
    <row r="119" customFormat="false" ht="15" hidden="false" customHeight="true" outlineLevel="0" collapsed="false">
      <c r="A119" s="13"/>
      <c r="B119" s="13"/>
      <c r="C119" s="13"/>
      <c r="D119" s="13"/>
      <c r="E119" s="13"/>
      <c r="F119" s="13"/>
      <c r="G119" s="13"/>
      <c r="H119" s="13"/>
      <c r="I119" s="13"/>
      <c r="J119" s="13"/>
      <c r="K119" s="14"/>
    </row>
    <row r="120" customFormat="false" ht="15" hidden="false" customHeight="true" outlineLevel="0" collapsed="false">
      <c r="A120" s="13"/>
      <c r="B120" s="13"/>
      <c r="C120" s="13"/>
      <c r="D120" s="13"/>
      <c r="E120" s="13"/>
      <c r="F120" s="13"/>
      <c r="G120" s="13"/>
      <c r="H120" s="13"/>
      <c r="I120" s="13"/>
      <c r="J120" s="13"/>
      <c r="K120" s="14"/>
    </row>
    <row r="121" customFormat="false" ht="15" hidden="false" customHeight="true" outlineLevel="0" collapsed="false">
      <c r="A121" s="13"/>
      <c r="B121" s="13"/>
      <c r="C121" s="13"/>
      <c r="D121" s="13"/>
      <c r="E121" s="13"/>
      <c r="F121" s="13"/>
      <c r="G121" s="13"/>
      <c r="H121" s="13"/>
      <c r="I121" s="13"/>
      <c r="J121" s="13"/>
      <c r="K121" s="14"/>
    </row>
    <row r="122" customFormat="false" ht="15" hidden="false" customHeight="true" outlineLevel="0" collapsed="false">
      <c r="A122" s="13"/>
      <c r="B122" s="13"/>
      <c r="C122" s="13"/>
      <c r="D122" s="13"/>
      <c r="E122" s="13"/>
      <c r="F122" s="13"/>
      <c r="G122" s="13"/>
      <c r="H122" s="13"/>
      <c r="I122" s="13"/>
      <c r="J122" s="13"/>
      <c r="K122" s="14"/>
    </row>
    <row r="123" customFormat="false" ht="15" hidden="false" customHeight="true" outlineLevel="0" collapsed="false">
      <c r="A123" s="13"/>
      <c r="B123" s="13"/>
      <c r="C123" s="13"/>
      <c r="D123" s="13"/>
      <c r="E123" s="13"/>
      <c r="F123" s="13"/>
      <c r="G123" s="13"/>
      <c r="H123" s="13"/>
      <c r="I123" s="13"/>
      <c r="J123" s="13"/>
      <c r="K123" s="14"/>
    </row>
    <row r="124" customFormat="false" ht="15" hidden="false" customHeight="true" outlineLevel="0" collapsed="false">
      <c r="A124" s="13"/>
      <c r="B124" s="13"/>
      <c r="C124" s="13"/>
      <c r="D124" s="13"/>
      <c r="E124" s="13"/>
      <c r="F124" s="13"/>
      <c r="G124" s="13"/>
      <c r="H124" s="13"/>
      <c r="I124" s="13"/>
      <c r="J124" s="13"/>
      <c r="K124" s="14"/>
    </row>
    <row r="125" customFormat="false" ht="15" hidden="false" customHeight="true" outlineLevel="0" collapsed="false">
      <c r="A125" s="13"/>
      <c r="B125" s="13"/>
      <c r="C125" s="13"/>
      <c r="D125" s="13"/>
      <c r="E125" s="13"/>
      <c r="F125" s="13"/>
      <c r="G125" s="13"/>
      <c r="H125" s="13"/>
      <c r="I125" s="13"/>
      <c r="J125" s="13"/>
      <c r="K125" s="14"/>
    </row>
    <row r="126" customFormat="false" ht="15" hidden="false" customHeight="true" outlineLevel="0" collapsed="false">
      <c r="A126" s="13"/>
      <c r="B126" s="13"/>
      <c r="C126" s="13"/>
      <c r="D126" s="13"/>
      <c r="E126" s="13"/>
      <c r="F126" s="13"/>
      <c r="G126" s="13"/>
      <c r="H126" s="13"/>
      <c r="I126" s="13"/>
      <c r="J126" s="13"/>
      <c r="K126" s="14"/>
    </row>
    <row r="127" customFormat="false" ht="15" hidden="false" customHeight="true" outlineLevel="0" collapsed="false">
      <c r="A127" s="13"/>
      <c r="B127" s="13"/>
      <c r="C127" s="13"/>
      <c r="D127" s="13"/>
      <c r="E127" s="13"/>
      <c r="F127" s="13"/>
      <c r="G127" s="13"/>
      <c r="H127" s="13"/>
      <c r="I127" s="13"/>
      <c r="J127" s="13"/>
      <c r="K127" s="14"/>
    </row>
    <row r="128" customFormat="false" ht="15" hidden="false" customHeight="true" outlineLevel="0" collapsed="false">
      <c r="A128" s="13"/>
      <c r="B128" s="13"/>
      <c r="C128" s="13"/>
      <c r="D128" s="13"/>
      <c r="E128" s="13"/>
      <c r="F128" s="13"/>
      <c r="G128" s="13"/>
      <c r="H128" s="13"/>
      <c r="I128" s="13"/>
      <c r="J128" s="13"/>
      <c r="K128" s="14"/>
    </row>
    <row r="129" customFormat="false" ht="15" hidden="false" customHeight="true" outlineLevel="0" collapsed="false">
      <c r="A129" s="13"/>
      <c r="B129" s="13"/>
      <c r="C129" s="13"/>
      <c r="D129" s="13"/>
      <c r="E129" s="13"/>
      <c r="F129" s="13"/>
      <c r="G129" s="13"/>
      <c r="H129" s="13"/>
      <c r="I129" s="13"/>
      <c r="J129" s="13"/>
      <c r="K129" s="14"/>
    </row>
    <row r="130" customFormat="false" ht="15" hidden="false" customHeight="true" outlineLevel="0" collapsed="false">
      <c r="A130" s="13"/>
      <c r="B130" s="13"/>
      <c r="C130" s="13"/>
      <c r="D130" s="13"/>
      <c r="E130" s="13"/>
      <c r="F130" s="13"/>
      <c r="G130" s="13"/>
      <c r="H130" s="13"/>
      <c r="I130" s="13"/>
      <c r="J130" s="13"/>
      <c r="K130" s="14"/>
    </row>
    <row r="131" customFormat="false" ht="15" hidden="false" customHeight="true" outlineLevel="0" collapsed="false">
      <c r="A131" s="13"/>
      <c r="B131" s="13"/>
      <c r="C131" s="13"/>
      <c r="D131" s="13"/>
      <c r="E131" s="13"/>
      <c r="F131" s="13"/>
      <c r="G131" s="13"/>
      <c r="H131" s="13"/>
      <c r="I131" s="13"/>
      <c r="J131" s="13"/>
      <c r="K131" s="14"/>
    </row>
    <row r="132" customFormat="false" ht="15" hidden="false" customHeight="true" outlineLevel="0" collapsed="false">
      <c r="A132" s="13"/>
      <c r="B132" s="13"/>
      <c r="C132" s="13"/>
      <c r="D132" s="13"/>
      <c r="E132" s="13"/>
      <c r="F132" s="13"/>
      <c r="G132" s="13"/>
      <c r="H132" s="13"/>
      <c r="I132" s="13"/>
      <c r="J132" s="13"/>
      <c r="K132" s="14"/>
    </row>
    <row r="133" customFormat="false" ht="15" hidden="false" customHeight="true" outlineLevel="0" collapsed="false">
      <c r="A133" s="13"/>
      <c r="B133" s="13"/>
      <c r="C133" s="13"/>
      <c r="D133" s="13"/>
      <c r="E133" s="13"/>
      <c r="F133" s="13"/>
      <c r="G133" s="13"/>
      <c r="H133" s="13"/>
      <c r="I133" s="13"/>
      <c r="J133" s="13"/>
      <c r="K133" s="14"/>
    </row>
    <row r="134" customFormat="false" ht="15" hidden="false" customHeight="true" outlineLevel="0" collapsed="false">
      <c r="A134" s="13"/>
      <c r="B134" s="13"/>
      <c r="C134" s="13"/>
      <c r="D134" s="13"/>
      <c r="E134" s="13"/>
      <c r="F134" s="13"/>
      <c r="G134" s="13"/>
      <c r="H134" s="13"/>
      <c r="I134" s="13"/>
      <c r="J134" s="13"/>
      <c r="K134" s="14"/>
    </row>
    <row r="135" customFormat="false" ht="15" hidden="false" customHeight="true" outlineLevel="0" collapsed="false">
      <c r="A135" s="13"/>
      <c r="B135" s="13"/>
      <c r="C135" s="13"/>
      <c r="D135" s="13"/>
      <c r="E135" s="13"/>
      <c r="F135" s="13"/>
      <c r="G135" s="13"/>
      <c r="H135" s="13"/>
      <c r="I135" s="13"/>
      <c r="J135" s="13"/>
      <c r="K135" s="14"/>
    </row>
    <row r="136" customFormat="false" ht="15" hidden="false" customHeight="true" outlineLevel="0" collapsed="false">
      <c r="A136" s="13"/>
      <c r="B136" s="13"/>
      <c r="C136" s="13"/>
      <c r="D136" s="13"/>
      <c r="E136" s="13"/>
      <c r="F136" s="13"/>
      <c r="G136" s="13"/>
      <c r="H136" s="13"/>
      <c r="I136" s="13"/>
      <c r="J136" s="13"/>
      <c r="K136" s="14"/>
    </row>
    <row r="137" customFormat="false" ht="15" hidden="false" customHeight="true" outlineLevel="0" collapsed="false">
      <c r="A137" s="13"/>
      <c r="B137" s="13"/>
      <c r="C137" s="13"/>
      <c r="D137" s="13"/>
      <c r="E137" s="13"/>
      <c r="F137" s="13"/>
      <c r="G137" s="13"/>
      <c r="H137" s="13"/>
      <c r="I137" s="13"/>
      <c r="J137" s="13"/>
      <c r="K137" s="14"/>
    </row>
    <row r="138" customFormat="false" ht="15" hidden="false" customHeight="true" outlineLevel="0" collapsed="false">
      <c r="A138" s="13"/>
      <c r="B138" s="13"/>
      <c r="C138" s="13"/>
      <c r="D138" s="13"/>
      <c r="E138" s="13"/>
      <c r="F138" s="13"/>
      <c r="G138" s="13"/>
      <c r="H138" s="13"/>
      <c r="I138" s="13"/>
      <c r="J138" s="13"/>
      <c r="K138" s="14"/>
    </row>
    <row r="139" customFormat="false" ht="15" hidden="false" customHeight="true" outlineLevel="0" collapsed="false">
      <c r="A139" s="13"/>
      <c r="B139" s="13"/>
      <c r="C139" s="13"/>
      <c r="D139" s="13"/>
      <c r="E139" s="13"/>
      <c r="F139" s="13"/>
      <c r="G139" s="13"/>
      <c r="H139" s="13"/>
      <c r="I139" s="13"/>
      <c r="J139" s="13"/>
      <c r="K139" s="14"/>
    </row>
    <row r="140" customFormat="false" ht="15" hidden="false" customHeight="true" outlineLevel="0" collapsed="false">
      <c r="A140" s="13"/>
      <c r="B140" s="13"/>
      <c r="C140" s="13"/>
      <c r="D140" s="13"/>
      <c r="E140" s="13"/>
      <c r="F140" s="13"/>
      <c r="G140" s="13"/>
      <c r="H140" s="13"/>
      <c r="I140" s="13"/>
      <c r="J140" s="13"/>
      <c r="K140" s="14"/>
    </row>
    <row r="141" customFormat="false" ht="15" hidden="false" customHeight="true" outlineLevel="0" collapsed="false">
      <c r="A141" s="13"/>
      <c r="B141" s="13"/>
      <c r="C141" s="13"/>
      <c r="D141" s="13"/>
      <c r="E141" s="13"/>
      <c r="F141" s="13"/>
      <c r="G141" s="13"/>
      <c r="H141" s="13"/>
      <c r="I141" s="13"/>
      <c r="J141" s="13"/>
      <c r="K141" s="14"/>
    </row>
    <row r="142" customFormat="false" ht="15" hidden="false" customHeight="true" outlineLevel="0" collapsed="false">
      <c r="A142" s="13"/>
      <c r="B142" s="13"/>
      <c r="C142" s="13"/>
      <c r="D142" s="13"/>
      <c r="E142" s="13"/>
      <c r="F142" s="13"/>
      <c r="G142" s="13"/>
      <c r="H142" s="13"/>
      <c r="I142" s="13"/>
      <c r="J142" s="13"/>
      <c r="K142" s="14"/>
    </row>
    <row r="143" customFormat="false" ht="15" hidden="false" customHeight="true" outlineLevel="0" collapsed="false">
      <c r="A143" s="13"/>
      <c r="B143" s="13"/>
      <c r="C143" s="13"/>
      <c r="D143" s="13"/>
      <c r="E143" s="13"/>
      <c r="F143" s="13"/>
      <c r="G143" s="13"/>
      <c r="H143" s="13"/>
      <c r="I143" s="13"/>
      <c r="J143" s="13"/>
      <c r="K143" s="14"/>
    </row>
    <row r="144" customFormat="false" ht="15" hidden="false" customHeight="true" outlineLevel="0" collapsed="false">
      <c r="A144" s="13"/>
      <c r="B144" s="13"/>
      <c r="C144" s="13"/>
      <c r="D144" s="13"/>
      <c r="E144" s="13"/>
      <c r="F144" s="13"/>
      <c r="G144" s="13"/>
      <c r="H144" s="13"/>
      <c r="I144" s="13"/>
      <c r="J144" s="13"/>
      <c r="K144" s="14"/>
    </row>
    <row r="145" customFormat="false" ht="15" hidden="false" customHeight="true" outlineLevel="0" collapsed="false">
      <c r="A145" s="13"/>
      <c r="B145" s="13"/>
      <c r="C145" s="13"/>
      <c r="D145" s="13"/>
      <c r="E145" s="13"/>
      <c r="F145" s="13"/>
      <c r="G145" s="13"/>
      <c r="H145" s="13"/>
      <c r="I145" s="13"/>
      <c r="J145" s="13"/>
      <c r="K145" s="14"/>
    </row>
    <row r="146" customFormat="false" ht="15" hidden="false" customHeight="true" outlineLevel="0" collapsed="false">
      <c r="A146" s="13"/>
      <c r="B146" s="13"/>
      <c r="C146" s="13"/>
      <c r="D146" s="13"/>
      <c r="E146" s="13"/>
      <c r="F146" s="13"/>
      <c r="G146" s="13"/>
      <c r="H146" s="13"/>
      <c r="I146" s="13"/>
      <c r="J146" s="13"/>
      <c r="K146" s="14"/>
    </row>
    <row r="147" customFormat="false" ht="15" hidden="false" customHeight="true" outlineLevel="0" collapsed="false">
      <c r="A147" s="13"/>
      <c r="B147" s="13"/>
      <c r="C147" s="13"/>
      <c r="D147" s="13"/>
      <c r="E147" s="13"/>
      <c r="F147" s="13"/>
      <c r="G147" s="13"/>
      <c r="H147" s="13"/>
      <c r="I147" s="13"/>
      <c r="J147" s="13"/>
      <c r="K147" s="14"/>
    </row>
    <row r="148" customFormat="false" ht="15" hidden="false" customHeight="true" outlineLevel="0" collapsed="false">
      <c r="A148" s="13"/>
      <c r="B148" s="13"/>
      <c r="C148" s="13"/>
      <c r="D148" s="13"/>
      <c r="E148" s="13"/>
      <c r="F148" s="13"/>
      <c r="G148" s="13"/>
      <c r="H148" s="13"/>
      <c r="I148" s="13"/>
      <c r="J148" s="13"/>
      <c r="K148" s="14"/>
    </row>
    <row r="149" customFormat="false" ht="15" hidden="false" customHeight="true" outlineLevel="0" collapsed="false">
      <c r="A149" s="13"/>
      <c r="B149" s="13"/>
      <c r="C149" s="13"/>
      <c r="D149" s="13"/>
      <c r="E149" s="13"/>
      <c r="F149" s="13"/>
      <c r="G149" s="13"/>
      <c r="H149" s="13"/>
      <c r="I149" s="13"/>
      <c r="J149" s="13"/>
      <c r="K149" s="14"/>
    </row>
    <row r="150" customFormat="false" ht="15" hidden="false" customHeight="true" outlineLevel="0" collapsed="false">
      <c r="A150" s="13"/>
      <c r="B150" s="13"/>
      <c r="C150" s="13"/>
      <c r="D150" s="13"/>
      <c r="E150" s="13"/>
      <c r="F150" s="13"/>
      <c r="G150" s="13"/>
      <c r="H150" s="13"/>
      <c r="I150" s="13"/>
      <c r="J150" s="13"/>
      <c r="K150" s="14"/>
    </row>
    <row r="151" customFormat="false" ht="15" hidden="false" customHeight="true" outlineLevel="0" collapsed="false">
      <c r="A151" s="13"/>
      <c r="B151" s="13"/>
      <c r="C151" s="13"/>
      <c r="D151" s="13"/>
      <c r="E151" s="13"/>
      <c r="F151" s="13"/>
      <c r="G151" s="13"/>
      <c r="H151" s="13"/>
      <c r="I151" s="13"/>
      <c r="J151" s="13"/>
      <c r="K151" s="14"/>
    </row>
    <row r="152" customFormat="false" ht="15" hidden="false" customHeight="true" outlineLevel="0" collapsed="false">
      <c r="A152" s="13"/>
      <c r="B152" s="13"/>
      <c r="C152" s="13"/>
      <c r="D152" s="13"/>
      <c r="E152" s="13"/>
      <c r="F152" s="13"/>
      <c r="G152" s="13"/>
      <c r="H152" s="13"/>
      <c r="I152" s="13"/>
      <c r="J152" s="13"/>
      <c r="K152" s="14"/>
    </row>
    <row r="153" customFormat="false" ht="15" hidden="false" customHeight="true" outlineLevel="0" collapsed="false">
      <c r="A153" s="13"/>
      <c r="B153" s="13"/>
      <c r="C153" s="13"/>
      <c r="D153" s="13"/>
      <c r="E153" s="13"/>
      <c r="F153" s="13"/>
      <c r="G153" s="13"/>
      <c r="H153" s="13"/>
      <c r="I153" s="13"/>
      <c r="J153" s="13"/>
      <c r="K153" s="14"/>
    </row>
    <row r="154" customFormat="false" ht="15" hidden="false" customHeight="true" outlineLevel="0" collapsed="false">
      <c r="A154" s="13"/>
      <c r="B154" s="13"/>
      <c r="C154" s="13"/>
      <c r="D154" s="13"/>
      <c r="E154" s="13"/>
      <c r="F154" s="13"/>
      <c r="G154" s="13"/>
      <c r="H154" s="13"/>
      <c r="I154" s="13"/>
      <c r="J154" s="13"/>
      <c r="K154" s="14"/>
    </row>
    <row r="155" customFormat="false" ht="15" hidden="false" customHeight="true" outlineLevel="0" collapsed="false">
      <c r="A155" s="13"/>
      <c r="B155" s="13"/>
      <c r="C155" s="13"/>
      <c r="D155" s="13"/>
      <c r="E155" s="13"/>
      <c r="F155" s="13"/>
      <c r="G155" s="13"/>
      <c r="H155" s="13"/>
      <c r="I155" s="13"/>
      <c r="J155" s="13"/>
      <c r="K155" s="14"/>
    </row>
    <row r="156" customFormat="false" ht="15" hidden="false" customHeight="true" outlineLevel="0" collapsed="false">
      <c r="A156" s="13"/>
      <c r="B156" s="13"/>
      <c r="C156" s="13"/>
      <c r="D156" s="13"/>
      <c r="E156" s="13"/>
      <c r="F156" s="13"/>
      <c r="G156" s="13"/>
      <c r="H156" s="13"/>
      <c r="I156" s="13"/>
      <c r="J156" s="13"/>
      <c r="K156" s="14"/>
    </row>
    <row r="157" customFormat="false" ht="15" hidden="false" customHeight="true" outlineLevel="0" collapsed="false">
      <c r="A157" s="13"/>
      <c r="B157" s="13"/>
      <c r="C157" s="13"/>
      <c r="D157" s="13"/>
      <c r="E157" s="13"/>
      <c r="F157" s="13"/>
      <c r="G157" s="13"/>
      <c r="H157" s="13"/>
      <c r="I157" s="13"/>
      <c r="J157" s="13"/>
      <c r="K157" s="14"/>
    </row>
    <row r="158" customFormat="false" ht="15" hidden="false" customHeight="true" outlineLevel="0" collapsed="false">
      <c r="A158" s="13"/>
      <c r="B158" s="13"/>
      <c r="C158" s="13"/>
      <c r="D158" s="13"/>
      <c r="E158" s="13"/>
      <c r="F158" s="13"/>
      <c r="G158" s="13"/>
      <c r="H158" s="13"/>
      <c r="I158" s="13"/>
      <c r="J158" s="13"/>
      <c r="K158" s="14"/>
    </row>
    <row r="159" customFormat="false" ht="15" hidden="false" customHeight="true" outlineLevel="0" collapsed="false">
      <c r="A159" s="13"/>
      <c r="B159" s="13"/>
      <c r="C159" s="13"/>
      <c r="D159" s="13"/>
      <c r="E159" s="13"/>
      <c r="F159" s="13"/>
      <c r="G159" s="13"/>
      <c r="H159" s="13"/>
      <c r="I159" s="13"/>
      <c r="J159" s="13"/>
      <c r="K159" s="14"/>
    </row>
    <row r="160" customFormat="false" ht="15" hidden="false" customHeight="true" outlineLevel="0" collapsed="false">
      <c r="A160" s="13"/>
      <c r="B160" s="13"/>
      <c r="C160" s="13"/>
      <c r="D160" s="13"/>
      <c r="E160" s="13"/>
      <c r="F160" s="13"/>
      <c r="G160" s="13"/>
      <c r="H160" s="13"/>
      <c r="I160" s="13"/>
      <c r="J160" s="13"/>
      <c r="K160" s="14"/>
    </row>
    <row r="161" customFormat="false" ht="15" hidden="false" customHeight="true" outlineLevel="0" collapsed="false">
      <c r="A161" s="13"/>
      <c r="B161" s="13"/>
      <c r="C161" s="13"/>
      <c r="D161" s="13"/>
      <c r="E161" s="13"/>
      <c r="F161" s="13"/>
      <c r="G161" s="13"/>
      <c r="H161" s="13"/>
      <c r="I161" s="13"/>
      <c r="J161" s="13"/>
      <c r="K161" s="14"/>
    </row>
    <row r="162" customFormat="false" ht="15" hidden="false" customHeight="true" outlineLevel="0" collapsed="false">
      <c r="A162" s="13"/>
      <c r="B162" s="13"/>
      <c r="C162" s="13"/>
      <c r="D162" s="13"/>
      <c r="E162" s="13"/>
      <c r="F162" s="13"/>
      <c r="G162" s="13"/>
      <c r="H162" s="13"/>
      <c r="I162" s="13"/>
      <c r="J162" s="13"/>
      <c r="K162" s="14"/>
    </row>
    <row r="163" customFormat="false" ht="15" hidden="false" customHeight="true" outlineLevel="0" collapsed="false">
      <c r="A163" s="13"/>
      <c r="B163" s="13"/>
      <c r="C163" s="13"/>
      <c r="D163" s="13"/>
      <c r="E163" s="13"/>
      <c r="F163" s="13"/>
      <c r="G163" s="13"/>
      <c r="H163" s="13"/>
      <c r="I163" s="13"/>
      <c r="J163" s="13"/>
      <c r="K163" s="14"/>
    </row>
    <row r="164" customFormat="false" ht="15" hidden="false" customHeight="true" outlineLevel="0" collapsed="false">
      <c r="A164" s="13"/>
      <c r="B164" s="13"/>
      <c r="C164" s="13"/>
      <c r="D164" s="13"/>
      <c r="E164" s="13"/>
      <c r="F164" s="13"/>
      <c r="G164" s="13"/>
      <c r="H164" s="13"/>
      <c r="I164" s="13"/>
      <c r="J164" s="13"/>
      <c r="K164" s="14"/>
    </row>
    <row r="165" customFormat="false" ht="15" hidden="false" customHeight="true" outlineLevel="0" collapsed="false">
      <c r="A165" s="13"/>
      <c r="B165" s="13"/>
      <c r="C165" s="13"/>
      <c r="D165" s="13"/>
      <c r="E165" s="13"/>
      <c r="F165" s="13"/>
      <c r="G165" s="13"/>
      <c r="H165" s="13"/>
      <c r="I165" s="13"/>
      <c r="J165" s="13"/>
      <c r="K165" s="14"/>
    </row>
    <row r="166" customFormat="false" ht="15" hidden="false" customHeight="true" outlineLevel="0" collapsed="false">
      <c r="A166" s="13"/>
      <c r="B166" s="13"/>
      <c r="C166" s="13"/>
      <c r="D166" s="13"/>
      <c r="E166" s="13"/>
      <c r="F166" s="13"/>
      <c r="G166" s="13"/>
      <c r="H166" s="13"/>
      <c r="I166" s="13"/>
      <c r="J166" s="13"/>
      <c r="K166" s="14"/>
    </row>
    <row r="167" customFormat="false" ht="15" hidden="false" customHeight="true" outlineLevel="0" collapsed="false">
      <c r="A167" s="13"/>
      <c r="B167" s="13"/>
      <c r="C167" s="13"/>
      <c r="D167" s="13"/>
      <c r="E167" s="13"/>
      <c r="F167" s="13"/>
      <c r="G167" s="13"/>
      <c r="H167" s="13"/>
      <c r="I167" s="13"/>
      <c r="J167" s="13"/>
      <c r="K167" s="14"/>
    </row>
    <row r="168" customFormat="false" ht="15" hidden="false" customHeight="true" outlineLevel="0" collapsed="false">
      <c r="A168" s="13"/>
      <c r="B168" s="13"/>
      <c r="C168" s="13"/>
      <c r="D168" s="13"/>
      <c r="E168" s="13"/>
      <c r="F168" s="13"/>
      <c r="G168" s="13"/>
      <c r="H168" s="13"/>
      <c r="I168" s="13"/>
      <c r="J168" s="13"/>
      <c r="K168" s="14"/>
    </row>
    <row r="169" customFormat="false" ht="15" hidden="false" customHeight="true" outlineLevel="0" collapsed="false">
      <c r="A169" s="13"/>
      <c r="B169" s="13"/>
      <c r="C169" s="13"/>
      <c r="D169" s="13"/>
      <c r="E169" s="13"/>
      <c r="F169" s="13"/>
      <c r="G169" s="13"/>
      <c r="H169" s="13"/>
      <c r="I169" s="13"/>
      <c r="J169" s="13"/>
      <c r="K169" s="14"/>
    </row>
    <row r="170" customFormat="false" ht="15" hidden="false" customHeight="true" outlineLevel="0" collapsed="false">
      <c r="A170" s="13"/>
      <c r="B170" s="13"/>
      <c r="C170" s="13"/>
      <c r="D170" s="13"/>
      <c r="E170" s="13"/>
      <c r="F170" s="13"/>
      <c r="G170" s="13"/>
      <c r="H170" s="13"/>
      <c r="I170" s="13"/>
      <c r="J170" s="13"/>
      <c r="K170" s="14"/>
    </row>
    <row r="171" customFormat="false" ht="15" hidden="false" customHeight="true" outlineLevel="0" collapsed="false">
      <c r="A171" s="13"/>
      <c r="B171" s="13"/>
      <c r="C171" s="13"/>
      <c r="D171" s="13"/>
      <c r="E171" s="13"/>
      <c r="F171" s="13"/>
      <c r="G171" s="13"/>
      <c r="H171" s="13"/>
      <c r="I171" s="13"/>
      <c r="J171" s="13"/>
      <c r="K171" s="14"/>
    </row>
    <row r="172" customFormat="false" ht="15" hidden="false" customHeight="true" outlineLevel="0" collapsed="false">
      <c r="A172" s="13"/>
      <c r="B172" s="13"/>
      <c r="C172" s="13"/>
      <c r="D172" s="13"/>
      <c r="E172" s="13"/>
      <c r="F172" s="13"/>
      <c r="G172" s="13"/>
      <c r="H172" s="13"/>
      <c r="I172" s="13"/>
      <c r="J172" s="13"/>
      <c r="K172" s="14"/>
    </row>
    <row r="173" customFormat="false" ht="15" hidden="false" customHeight="true" outlineLevel="0" collapsed="false">
      <c r="A173" s="13"/>
      <c r="B173" s="13"/>
      <c r="C173" s="13"/>
      <c r="D173" s="13"/>
      <c r="E173" s="13"/>
      <c r="F173" s="13"/>
      <c r="G173" s="13"/>
      <c r="H173" s="13"/>
      <c r="I173" s="13"/>
      <c r="J173" s="13"/>
      <c r="K173" s="14"/>
    </row>
    <row r="174" customFormat="false" ht="15" hidden="false" customHeight="true" outlineLevel="0" collapsed="false">
      <c r="A174" s="13"/>
      <c r="B174" s="13"/>
      <c r="C174" s="13"/>
      <c r="D174" s="13"/>
      <c r="E174" s="13"/>
      <c r="F174" s="13"/>
      <c r="G174" s="13"/>
      <c r="H174" s="13"/>
      <c r="I174" s="13"/>
      <c r="J174" s="13"/>
      <c r="K174" s="14"/>
    </row>
    <row r="175" customFormat="false" ht="15" hidden="false" customHeight="true" outlineLevel="0" collapsed="false">
      <c r="A175" s="13"/>
      <c r="B175" s="13"/>
      <c r="C175" s="13"/>
      <c r="D175" s="13"/>
      <c r="E175" s="13"/>
      <c r="F175" s="13"/>
      <c r="G175" s="13"/>
      <c r="H175" s="13"/>
      <c r="I175" s="13"/>
      <c r="J175" s="13"/>
      <c r="K175" s="14"/>
    </row>
    <row r="176" customFormat="false" ht="15" hidden="false" customHeight="true" outlineLevel="0" collapsed="false">
      <c r="A176" s="13"/>
      <c r="B176" s="13"/>
      <c r="C176" s="13"/>
      <c r="D176" s="13"/>
      <c r="E176" s="13"/>
      <c r="F176" s="13"/>
      <c r="G176" s="13"/>
      <c r="H176" s="13"/>
      <c r="I176" s="13"/>
      <c r="J176" s="13"/>
      <c r="K176" s="14"/>
    </row>
    <row r="177" customFormat="false" ht="15" hidden="false" customHeight="true" outlineLevel="0" collapsed="false">
      <c r="A177" s="13"/>
      <c r="B177" s="13"/>
      <c r="C177" s="13"/>
      <c r="D177" s="13"/>
      <c r="E177" s="13"/>
      <c r="F177" s="13"/>
      <c r="G177" s="13"/>
      <c r="H177" s="13"/>
      <c r="I177" s="13"/>
      <c r="J177" s="13"/>
      <c r="K177" s="14"/>
    </row>
    <row r="178" customFormat="false" ht="15" hidden="false" customHeight="true" outlineLevel="0" collapsed="false">
      <c r="A178" s="13"/>
      <c r="B178" s="13"/>
      <c r="C178" s="13"/>
      <c r="D178" s="13"/>
      <c r="E178" s="13"/>
      <c r="F178" s="13"/>
      <c r="G178" s="13"/>
      <c r="H178" s="13"/>
      <c r="I178" s="13"/>
      <c r="J178" s="13"/>
      <c r="K178" s="14"/>
    </row>
    <row r="179" customFormat="false" ht="15" hidden="false" customHeight="true" outlineLevel="0" collapsed="false">
      <c r="A179" s="13"/>
      <c r="B179" s="13"/>
      <c r="C179" s="13"/>
      <c r="D179" s="13"/>
      <c r="E179" s="13"/>
      <c r="F179" s="13"/>
      <c r="G179" s="13"/>
      <c r="H179" s="13"/>
      <c r="I179" s="13"/>
      <c r="J179" s="13"/>
      <c r="K179" s="14"/>
    </row>
    <row r="180" customFormat="false" ht="15" hidden="false" customHeight="true" outlineLevel="0" collapsed="false">
      <c r="A180" s="13"/>
      <c r="B180" s="13"/>
      <c r="C180" s="13"/>
      <c r="D180" s="13"/>
      <c r="E180" s="13"/>
      <c r="F180" s="13"/>
      <c r="G180" s="13"/>
      <c r="H180" s="13"/>
      <c r="I180" s="13"/>
      <c r="J180" s="13"/>
      <c r="K180" s="14"/>
    </row>
    <row r="181" customFormat="false" ht="15" hidden="false" customHeight="true" outlineLevel="0" collapsed="false">
      <c r="A181" s="13"/>
      <c r="B181" s="13"/>
      <c r="C181" s="13"/>
      <c r="D181" s="13"/>
      <c r="E181" s="13"/>
      <c r="F181" s="13"/>
      <c r="G181" s="13"/>
      <c r="H181" s="13"/>
      <c r="I181" s="13"/>
      <c r="J181" s="13"/>
      <c r="K181" s="14"/>
    </row>
    <row r="182" customFormat="false" ht="15" hidden="false" customHeight="true" outlineLevel="0" collapsed="false">
      <c r="A182" s="13"/>
      <c r="B182" s="13"/>
      <c r="C182" s="13"/>
      <c r="D182" s="13"/>
      <c r="E182" s="13"/>
      <c r="F182" s="13"/>
      <c r="G182" s="13"/>
      <c r="H182" s="13"/>
      <c r="I182" s="13"/>
      <c r="J182" s="13"/>
      <c r="K182" s="14"/>
    </row>
    <row r="183" customFormat="false" ht="15" hidden="false" customHeight="true" outlineLevel="0" collapsed="false">
      <c r="A183" s="13"/>
      <c r="B183" s="13"/>
      <c r="C183" s="13"/>
      <c r="D183" s="13"/>
      <c r="E183" s="13"/>
      <c r="F183" s="13"/>
      <c r="G183" s="13"/>
      <c r="H183" s="13"/>
      <c r="I183" s="13"/>
      <c r="J183" s="13"/>
      <c r="K183" s="14"/>
    </row>
    <row r="184" customFormat="false" ht="15" hidden="false" customHeight="true" outlineLevel="0" collapsed="false">
      <c r="A184" s="13"/>
      <c r="B184" s="13"/>
      <c r="C184" s="13"/>
      <c r="D184" s="13"/>
      <c r="E184" s="13"/>
      <c r="F184" s="13"/>
      <c r="G184" s="13"/>
      <c r="H184" s="13"/>
      <c r="I184" s="13"/>
      <c r="J184" s="13"/>
      <c r="K184" s="14"/>
    </row>
    <row r="185" customFormat="false" ht="15" hidden="false" customHeight="true" outlineLevel="0" collapsed="false">
      <c r="A185" s="13"/>
      <c r="B185" s="13"/>
      <c r="C185" s="13"/>
      <c r="D185" s="13"/>
      <c r="E185" s="13"/>
      <c r="F185" s="13"/>
      <c r="G185" s="13"/>
      <c r="H185" s="13"/>
      <c r="I185" s="13"/>
      <c r="J185" s="13"/>
      <c r="K185" s="14"/>
    </row>
    <row r="186" customFormat="false" ht="15" hidden="false" customHeight="true" outlineLevel="0" collapsed="false">
      <c r="A186" s="13"/>
      <c r="B186" s="13"/>
      <c r="C186" s="13"/>
      <c r="D186" s="13"/>
      <c r="E186" s="13"/>
      <c r="F186" s="13"/>
      <c r="G186" s="13"/>
      <c r="H186" s="13"/>
      <c r="I186" s="13"/>
      <c r="J186" s="13"/>
      <c r="K186" s="14"/>
    </row>
    <row r="187" customFormat="false" ht="15" hidden="false" customHeight="true" outlineLevel="0" collapsed="false">
      <c r="A187" s="13"/>
      <c r="B187" s="13"/>
      <c r="C187" s="13"/>
      <c r="D187" s="13"/>
      <c r="E187" s="13"/>
      <c r="F187" s="13"/>
      <c r="G187" s="13"/>
      <c r="H187" s="13"/>
      <c r="I187" s="13"/>
      <c r="J187" s="13"/>
      <c r="K187" s="14"/>
    </row>
    <row r="188" customFormat="false" ht="15" hidden="false" customHeight="true" outlineLevel="0" collapsed="false">
      <c r="A188" s="13"/>
      <c r="B188" s="13"/>
      <c r="C188" s="13"/>
      <c r="D188" s="13"/>
      <c r="E188" s="13"/>
      <c r="F188" s="13"/>
      <c r="G188" s="13"/>
      <c r="H188" s="13"/>
      <c r="I188" s="13"/>
      <c r="J188" s="13"/>
      <c r="K188" s="14"/>
    </row>
    <row r="189" customFormat="false" ht="15" hidden="false" customHeight="true" outlineLevel="0" collapsed="false">
      <c r="A189" s="13"/>
      <c r="B189" s="13"/>
      <c r="C189" s="13"/>
      <c r="D189" s="13"/>
      <c r="E189" s="13"/>
      <c r="F189" s="13"/>
      <c r="G189" s="13"/>
      <c r="H189" s="13"/>
      <c r="I189" s="13"/>
      <c r="J189" s="13"/>
      <c r="K189" s="14"/>
    </row>
    <row r="190" customFormat="false" ht="15" hidden="false" customHeight="true" outlineLevel="0" collapsed="false">
      <c r="A190" s="13"/>
      <c r="B190" s="13"/>
      <c r="C190" s="13"/>
      <c r="D190" s="13"/>
      <c r="E190" s="13"/>
      <c r="F190" s="13"/>
      <c r="G190" s="13"/>
      <c r="H190" s="13"/>
      <c r="I190" s="13"/>
      <c r="J190" s="13"/>
      <c r="K190" s="14"/>
    </row>
    <row r="191" customFormat="false" ht="15" hidden="false" customHeight="true" outlineLevel="0" collapsed="false">
      <c r="A191" s="13"/>
      <c r="B191" s="13"/>
      <c r="C191" s="13"/>
      <c r="D191" s="13"/>
      <c r="E191" s="13"/>
      <c r="F191" s="13"/>
      <c r="G191" s="13"/>
      <c r="H191" s="13"/>
      <c r="I191" s="13"/>
      <c r="J191" s="13"/>
      <c r="K191" s="14"/>
    </row>
    <row r="192" customFormat="false" ht="15" hidden="false" customHeight="true" outlineLevel="0" collapsed="false">
      <c r="A192" s="13"/>
      <c r="B192" s="13"/>
      <c r="C192" s="13"/>
      <c r="D192" s="13"/>
      <c r="E192" s="13"/>
      <c r="F192" s="13"/>
      <c r="G192" s="13"/>
      <c r="H192" s="13"/>
      <c r="I192" s="13"/>
      <c r="J192" s="13"/>
      <c r="K192" s="14"/>
    </row>
    <row r="193" customFormat="false" ht="15" hidden="false" customHeight="true" outlineLevel="0" collapsed="false">
      <c r="A193" s="13"/>
      <c r="B193" s="13"/>
      <c r="C193" s="13"/>
      <c r="D193" s="13"/>
      <c r="E193" s="13"/>
      <c r="F193" s="13"/>
      <c r="G193" s="13"/>
      <c r="H193" s="13"/>
      <c r="I193" s="13"/>
      <c r="J193" s="13"/>
      <c r="K193" s="14"/>
    </row>
    <row r="194" customFormat="false" ht="15" hidden="false" customHeight="true" outlineLevel="0" collapsed="false">
      <c r="A194" s="13"/>
      <c r="B194" s="13"/>
      <c r="C194" s="13"/>
      <c r="D194" s="13"/>
      <c r="E194" s="13"/>
      <c r="F194" s="13"/>
      <c r="G194" s="13"/>
      <c r="H194" s="13"/>
      <c r="I194" s="13"/>
      <c r="J194" s="13"/>
      <c r="K194" s="14"/>
    </row>
    <row r="195" customFormat="false" ht="15" hidden="false" customHeight="true" outlineLevel="0" collapsed="false">
      <c r="A195" s="13"/>
      <c r="B195" s="13"/>
      <c r="C195" s="13"/>
      <c r="D195" s="13"/>
      <c r="E195" s="13"/>
      <c r="F195" s="13"/>
      <c r="G195" s="13"/>
      <c r="H195" s="13"/>
      <c r="I195" s="13"/>
      <c r="J195" s="13"/>
      <c r="K195" s="14"/>
    </row>
    <row r="196" customFormat="false" ht="15" hidden="false" customHeight="true" outlineLevel="0" collapsed="false">
      <c r="A196" s="13"/>
      <c r="B196" s="13"/>
      <c r="C196" s="13"/>
      <c r="D196" s="13"/>
      <c r="E196" s="13"/>
      <c r="F196" s="13"/>
      <c r="G196" s="13"/>
      <c r="H196" s="13"/>
      <c r="I196" s="13"/>
      <c r="J196" s="13"/>
      <c r="K196" s="14"/>
    </row>
    <row r="197" customFormat="false" ht="15" hidden="false" customHeight="true" outlineLevel="0" collapsed="false">
      <c r="A197" s="13"/>
      <c r="B197" s="13"/>
      <c r="C197" s="13"/>
      <c r="D197" s="13"/>
      <c r="E197" s="13"/>
      <c r="F197" s="13"/>
      <c r="G197" s="13"/>
      <c r="H197" s="13"/>
      <c r="I197" s="13"/>
      <c r="J197" s="13"/>
      <c r="K197" s="14"/>
    </row>
    <row r="198" customFormat="false" ht="15" hidden="false" customHeight="true" outlineLevel="0" collapsed="false">
      <c r="A198" s="13"/>
      <c r="B198" s="13"/>
      <c r="C198" s="13"/>
      <c r="D198" s="13"/>
      <c r="E198" s="13"/>
      <c r="F198" s="13"/>
      <c r="G198" s="13"/>
      <c r="H198" s="13"/>
      <c r="I198" s="13"/>
      <c r="J198" s="13"/>
      <c r="K198" s="14"/>
    </row>
    <row r="199" customFormat="false" ht="15" hidden="false" customHeight="true" outlineLevel="0" collapsed="false">
      <c r="A199" s="13"/>
      <c r="B199" s="13"/>
      <c r="C199" s="13"/>
      <c r="D199" s="13"/>
      <c r="E199" s="13"/>
      <c r="F199" s="13"/>
      <c r="G199" s="13"/>
      <c r="H199" s="13"/>
      <c r="I199" s="13"/>
      <c r="J199" s="13"/>
      <c r="K199" s="14"/>
    </row>
    <row r="200" customFormat="false" ht="15" hidden="false" customHeight="true" outlineLevel="0" collapsed="false">
      <c r="A200" s="13"/>
      <c r="B200" s="13"/>
      <c r="C200" s="13"/>
      <c r="D200" s="13"/>
      <c r="E200" s="13"/>
      <c r="F200" s="13"/>
      <c r="G200" s="13"/>
      <c r="H200" s="13"/>
      <c r="I200" s="13"/>
      <c r="J200" s="13"/>
      <c r="K200" s="14"/>
    </row>
    <row r="201" customFormat="false" ht="15" hidden="false" customHeight="true" outlineLevel="0" collapsed="false">
      <c r="A201" s="13"/>
      <c r="B201" s="13"/>
      <c r="C201" s="13"/>
      <c r="D201" s="13"/>
      <c r="E201" s="13"/>
      <c r="F201" s="13"/>
      <c r="G201" s="13"/>
      <c r="H201" s="13"/>
      <c r="I201" s="13"/>
      <c r="J201" s="13"/>
      <c r="K201" s="14"/>
    </row>
  </sheetData>
  <autoFilter ref="A1:K201"/>
  <dataValidations count="3">
    <dataValidation allowBlank="true" errorStyle="stop" operator="between" showDropDown="false" showErrorMessage="false" showInputMessage="false" sqref="F2:F201" type="list">
      <formula1>Lists!$H$2:$H$16</formula1>
      <formula2>0</formula2>
    </dataValidation>
    <dataValidation allowBlank="true" errorStyle="stop" operator="between" showDropDown="false" showErrorMessage="false" showInputMessage="false" sqref="G2:G201" type="list">
      <formula1>Lists!$F$2:$F$6</formula1>
      <formula2>0</formula2>
    </dataValidation>
    <dataValidation allowBlank="true" errorStyle="stop" operator="between" showDropDown="false" showErrorMessage="false" showInputMessage="false" sqref="I2:I201" type="list">
      <formula1>Lists!$E$2:$E$6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1" width="30"/>
    <col collapsed="false" customWidth="true" hidden="false" outlineLevel="0" max="10" min="9" style="1" width="24"/>
  </cols>
  <sheetData>
    <row r="1" customFormat="false" ht="15" hidden="false" customHeight="true" outlineLevel="0" collapsed="false">
      <c r="A1" s="16" t="s">
        <v>1967</v>
      </c>
      <c r="B1" s="16" t="s">
        <v>1968</v>
      </c>
      <c r="C1" s="16" t="s">
        <v>1969</v>
      </c>
      <c r="D1" s="16" t="s">
        <v>1970</v>
      </c>
      <c r="E1" s="16" t="s">
        <v>47</v>
      </c>
      <c r="F1" s="16" t="s">
        <v>718</v>
      </c>
      <c r="G1" s="16" t="s">
        <v>1971</v>
      </c>
      <c r="H1" s="16" t="s">
        <v>1972</v>
      </c>
      <c r="I1" s="16" t="s">
        <v>1973</v>
      </c>
      <c r="J1" s="16" t="s">
        <v>1974</v>
      </c>
      <c r="K1" s="16" t="s">
        <v>1975</v>
      </c>
    </row>
    <row r="2" customFormat="false" ht="15" hidden="false" customHeight="true" outlineLevel="0" collapsed="false">
      <c r="A2" s="7" t="s">
        <v>721</v>
      </c>
      <c r="B2" s="7" t="s">
        <v>54</v>
      </c>
      <c r="C2" s="7" t="s">
        <v>106</v>
      </c>
      <c r="D2" s="7" t="s">
        <v>723</v>
      </c>
      <c r="E2" s="7" t="s">
        <v>60</v>
      </c>
      <c r="F2" s="7" t="s">
        <v>728</v>
      </c>
      <c r="G2" s="7" t="s">
        <v>722</v>
      </c>
      <c r="H2" s="7" t="s">
        <v>109</v>
      </c>
      <c r="I2" s="7" t="s">
        <v>813</v>
      </c>
      <c r="J2" s="7" t="s">
        <v>54</v>
      </c>
      <c r="K2" s="7" t="s">
        <v>395</v>
      </c>
    </row>
    <row r="3" customFormat="false" ht="15" hidden="false" customHeight="true" outlineLevel="0" collapsed="false">
      <c r="A3" s="7" t="s">
        <v>745</v>
      </c>
      <c r="B3" s="7" t="s">
        <v>812</v>
      </c>
      <c r="C3" s="7" t="s">
        <v>54</v>
      </c>
      <c r="D3" s="7" t="s">
        <v>748</v>
      </c>
      <c r="E3" s="7" t="s">
        <v>1976</v>
      </c>
      <c r="F3" s="7" t="s">
        <v>1210</v>
      </c>
      <c r="G3" s="7" t="s">
        <v>746</v>
      </c>
      <c r="H3" s="7" t="s">
        <v>192</v>
      </c>
      <c r="I3" s="7" t="s">
        <v>850</v>
      </c>
      <c r="J3" s="7" t="s">
        <v>812</v>
      </c>
      <c r="K3" s="7" t="s">
        <v>607</v>
      </c>
    </row>
    <row r="4" customFormat="false" ht="15" hidden="false" customHeight="true" outlineLevel="0" collapsed="false">
      <c r="A4" s="7" t="s">
        <v>769</v>
      </c>
      <c r="B4" s="7" t="s">
        <v>298</v>
      </c>
      <c r="C4" s="7" t="s">
        <v>298</v>
      </c>
      <c r="D4" s="7" t="s">
        <v>772</v>
      </c>
      <c r="E4" s="7" t="s">
        <v>1977</v>
      </c>
      <c r="F4" s="7" t="s">
        <v>1255</v>
      </c>
      <c r="G4" s="7" t="s">
        <v>770</v>
      </c>
      <c r="H4" s="7" t="s">
        <v>114</v>
      </c>
      <c r="I4" s="7" t="s">
        <v>853</v>
      </c>
      <c r="J4" s="7" t="s">
        <v>298</v>
      </c>
      <c r="K4" s="7" t="s">
        <v>689</v>
      </c>
    </row>
    <row r="5" customFormat="false" ht="15" hidden="false" customHeight="true" outlineLevel="0" collapsed="false">
      <c r="A5" s="7" t="s">
        <v>1978</v>
      </c>
      <c r="C5" s="7" t="s">
        <v>771</v>
      </c>
      <c r="D5" s="7" t="s">
        <v>1979</v>
      </c>
      <c r="E5" s="7" t="s">
        <v>1980</v>
      </c>
      <c r="F5" s="7" t="s">
        <v>1218</v>
      </c>
      <c r="G5" s="7" t="s">
        <v>1981</v>
      </c>
      <c r="H5" s="7" t="s">
        <v>119</v>
      </c>
      <c r="I5" s="7" t="s">
        <v>915</v>
      </c>
      <c r="J5" s="7" t="s">
        <v>827</v>
      </c>
    </row>
    <row r="6" customFormat="false" ht="15" hidden="false" customHeight="true" outlineLevel="0" collapsed="false">
      <c r="A6" s="7" t="s">
        <v>1982</v>
      </c>
      <c r="D6" s="7" t="s">
        <v>1983</v>
      </c>
      <c r="E6" s="7" t="s">
        <v>1984</v>
      </c>
      <c r="F6" s="7" t="s">
        <v>1273</v>
      </c>
      <c r="G6" s="7" t="s">
        <v>1985</v>
      </c>
      <c r="H6" s="7" t="s">
        <v>124</v>
      </c>
      <c r="I6" s="7" t="s">
        <v>942</v>
      </c>
      <c r="J6" s="7" t="s">
        <v>840</v>
      </c>
    </row>
    <row r="7" customFormat="false" ht="15" hidden="false" customHeight="true" outlineLevel="0" collapsed="false">
      <c r="A7" s="7" t="s">
        <v>1986</v>
      </c>
      <c r="H7" s="7" t="s">
        <v>170</v>
      </c>
      <c r="I7" s="7" t="s">
        <v>971</v>
      </c>
      <c r="J7" s="7" t="s">
        <v>843</v>
      </c>
    </row>
    <row r="8" customFormat="false" ht="15" hidden="false" customHeight="true" outlineLevel="0" collapsed="false">
      <c r="H8" s="7" t="s">
        <v>773</v>
      </c>
    </row>
    <row r="9" customFormat="false" ht="15" hidden="false" customHeight="true" outlineLevel="0" collapsed="false">
      <c r="H9" s="7" t="s">
        <v>153</v>
      </c>
    </row>
    <row r="10" customFormat="false" ht="15" hidden="false" customHeight="true" outlineLevel="0" collapsed="false">
      <c r="H10" s="7" t="s">
        <v>183</v>
      </c>
    </row>
    <row r="11" customFormat="false" ht="15" hidden="false" customHeight="true" outlineLevel="0" collapsed="false">
      <c r="H11" s="7" t="s">
        <v>234</v>
      </c>
    </row>
    <row r="12" customFormat="false" ht="15" hidden="false" customHeight="true" outlineLevel="0" collapsed="false">
      <c r="H12" s="7" t="s">
        <v>1987</v>
      </c>
    </row>
    <row r="13" customFormat="false" ht="15" hidden="false" customHeight="true" outlineLevel="0" collapsed="false">
      <c r="H13" s="7" t="s">
        <v>1988</v>
      </c>
    </row>
    <row r="14" customFormat="false" ht="15" hidden="false" customHeight="true" outlineLevel="0" collapsed="false">
      <c r="H14" s="7" t="s">
        <v>1989</v>
      </c>
    </row>
    <row r="15" customFormat="false" ht="15" hidden="false" customHeight="true" outlineLevel="0" collapsed="false">
      <c r="H15" s="7" t="s">
        <v>1990</v>
      </c>
    </row>
    <row r="16" customFormat="false" ht="15" hidden="false" customHeight="true" outlineLevel="0" collapsed="false">
      <c r="H16" s="7" t="s">
        <v>749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2026-09-30T14:39:17Z</dcterms:created>
  <dc:creator>openpyxl</dc:creator>
  <dc:description/>
  <dc:language>en-US</dc:language>
  <cp:lastModifiedBy/>
  <dcterms:modified xsi:type="dcterms:W3CDTF">2026-10-01T03:34:16Z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